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AVES_COWER_2025_python_3_11\WAVES\examples\Data\"/>
    </mc:Choice>
  </mc:AlternateContent>
  <xr:revisionPtr revIDLastSave="0" documentId="8_{D8926A8F-193D-40F3-9C36-03B6CE7C1C61}" xr6:coauthVersionLast="47" xr6:coauthVersionMax="47" xr10:uidLastSave="{00000000-0000-0000-0000-000000000000}"/>
  <bookViews>
    <workbookView xWindow="-120" yWindow="16080" windowWidth="29040" windowHeight="15720" xr2:uid="{EE68FA1B-042D-4330-8C4A-C1806BFF19D8}"/>
  </bookViews>
  <sheets>
    <sheet name="FLOW_Sensitivity" sheetId="1" r:id="rId1"/>
    <sheet name="Fixed Charge Rate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2" i="1"/>
  <c r="F4" i="1"/>
  <c r="D10" i="2"/>
  <c r="C3" i="2"/>
  <c r="C10" i="2"/>
  <c r="F5" i="1"/>
  <c r="C11" i="2"/>
  <c r="C13" i="2"/>
  <c r="C16" i="2"/>
  <c r="C17" i="2"/>
  <c r="C19" i="2"/>
  <c r="G5" i="1"/>
  <c r="E10" i="2"/>
  <c r="G2" i="1"/>
  <c r="E2" i="1"/>
  <c r="E3" i="1"/>
  <c r="G3" i="1"/>
  <c r="G3" i="2"/>
  <c r="F3" i="2"/>
  <c r="E3" i="2"/>
  <c r="D3" i="2"/>
  <c r="AE82" i="2"/>
  <c r="AE84" i="2"/>
  <c r="AF82" i="2"/>
  <c r="AF83" i="2"/>
  <c r="AF85" i="2"/>
  <c r="AE83" i="2"/>
  <c r="AE85" i="2"/>
  <c r="AF88" i="2"/>
  <c r="AF89" i="2"/>
  <c r="AE88" i="2"/>
  <c r="AE89" i="2"/>
  <c r="AD82" i="2"/>
  <c r="AD84" i="2"/>
  <c r="L14" i="2"/>
  <c r="M14" i="2"/>
  <c r="N14" i="2"/>
  <c r="O14" i="2"/>
  <c r="P14" i="2"/>
  <c r="Q14" i="2"/>
  <c r="R14" i="2"/>
  <c r="S14" i="2"/>
  <c r="T14" i="2"/>
  <c r="U14" i="2"/>
  <c r="V14" i="2"/>
  <c r="W14" i="2"/>
  <c r="X14" i="2"/>
  <c r="Y14" i="2"/>
  <c r="Z14" i="2"/>
  <c r="AA14" i="2"/>
  <c r="AB14" i="2"/>
  <c r="AC14" i="2"/>
  <c r="AD14" i="2"/>
  <c r="AE14" i="2"/>
  <c r="K11" i="2"/>
  <c r="K6" i="2"/>
  <c r="K13" i="2"/>
  <c r="E5" i="1"/>
  <c r="G10" i="2"/>
  <c r="F10" i="2"/>
  <c r="AE91" i="2"/>
  <c r="AE92" i="2"/>
  <c r="AF91" i="2"/>
  <c r="AF92" i="2"/>
  <c r="AE90" i="2"/>
  <c r="AD83" i="2"/>
  <c r="AD85" i="2"/>
  <c r="AF84" i="2"/>
  <c r="AF90" i="2"/>
  <c r="AD88" i="2"/>
  <c r="AD89" i="2"/>
  <c r="AD90" i="2"/>
  <c r="K12" i="2"/>
  <c r="K10" i="2"/>
  <c r="AD91" i="2"/>
  <c r="AD92" i="2"/>
  <c r="G11" i="2"/>
  <c r="G13" i="2"/>
  <c r="G12" i="2"/>
  <c r="G16" i="2"/>
  <c r="G17" i="2"/>
  <c r="F11" i="2"/>
  <c r="F13" i="2"/>
  <c r="F16" i="2"/>
  <c r="F17" i="2"/>
  <c r="F12" i="2"/>
  <c r="E16" i="2"/>
  <c r="E17" i="2"/>
  <c r="E12" i="2"/>
  <c r="E11" i="2"/>
  <c r="E13" i="2"/>
  <c r="D12" i="2"/>
  <c r="D16" i="2"/>
  <c r="D17" i="2"/>
  <c r="D11" i="2"/>
  <c r="D13" i="2"/>
  <c r="C12" i="2"/>
  <c r="F19" i="2"/>
  <c r="D6" i="1"/>
  <c r="F18" i="2"/>
  <c r="E19" i="2"/>
  <c r="D5" i="1"/>
  <c r="G18" i="2"/>
  <c r="G19" i="2"/>
  <c r="B6" i="1"/>
  <c r="E18" i="2"/>
  <c r="D19" i="2"/>
  <c r="B5" i="1"/>
  <c r="D18" i="2"/>
  <c r="C18" i="2"/>
  <c r="D2" i="1"/>
  <c r="D4" i="1"/>
  <c r="B4" i="1"/>
  <c r="D3" i="1"/>
  <c r="B2" i="1"/>
  <c r="B3" i="1"/>
</calcChain>
</file>

<file path=xl/sharedStrings.xml><?xml version="1.0" encoding="utf-8"?>
<sst xmlns="http://schemas.openxmlformats.org/spreadsheetml/2006/main" count="76" uniqueCount="53">
  <si>
    <t>Key Parameters for LCOE Sensitivity Analysis</t>
  </si>
  <si>
    <t>min LCOE</t>
  </si>
  <si>
    <t>base LCOE</t>
  </si>
  <si>
    <t>max LCOE</t>
  </si>
  <si>
    <t>min value</t>
  </si>
  <si>
    <t>base value</t>
  </si>
  <si>
    <t>max value</t>
  </si>
  <si>
    <t>color</t>
  </si>
  <si>
    <t>CapEx ($/kW)</t>
  </si>
  <si>
    <t>OpEx ($/kW/year)</t>
  </si>
  <si>
    <t>Net Capacity Factor (%)</t>
  </si>
  <si>
    <t>Discount Rate (nominal) [%]</t>
  </si>
  <si>
    <t>Project Design Life (Years)</t>
  </si>
  <si>
    <t>%</t>
  </si>
  <si>
    <t>Mid-year Convention</t>
  </si>
  <si>
    <t>Year</t>
  </si>
  <si>
    <t>Check</t>
  </si>
  <si>
    <t>NPV Depreciation</t>
  </si>
  <si>
    <t>5 year MACRS</t>
  </si>
  <si>
    <t>5 year Straight-line</t>
  </si>
  <si>
    <t>10 year Straight-line</t>
  </si>
  <si>
    <t>20 year Straight-line</t>
  </si>
  <si>
    <t>Depreciation Adjustment</t>
  </si>
  <si>
    <t>OpEx Schedule</t>
  </si>
  <si>
    <t>Project design life</t>
  </si>
  <si>
    <t>years</t>
  </si>
  <si>
    <t>Tax Rate (combined state and federal)</t>
  </si>
  <si>
    <t xml:space="preserve">    Federal</t>
  </si>
  <si>
    <t xml:space="preserve">    State</t>
  </si>
  <si>
    <t>Inflation rate</t>
  </si>
  <si>
    <t>Debt fraction</t>
  </si>
  <si>
    <t>Debt interest rate (nominal)</t>
  </si>
  <si>
    <t>Return on equity (nominal)</t>
  </si>
  <si>
    <t>WACC (nominal; after-tax)</t>
  </si>
  <si>
    <t>WACC (real; after-tax)</t>
  </si>
  <si>
    <t>Capital recovery factor (nominal; after-tax)</t>
  </si>
  <si>
    <t>Capital recovery factor (real; after-tax)</t>
  </si>
  <si>
    <t>Depreciable basis</t>
  </si>
  <si>
    <t>Depreciation schedule</t>
  </si>
  <si>
    <t>Depreciation adjustment (NPV)</t>
  </si>
  <si>
    <t>Project finance factor</t>
  </si>
  <si>
    <t>FCR (nominal)</t>
  </si>
  <si>
    <t>FCR (real)</t>
  </si>
  <si>
    <t>baseline</t>
  </si>
  <si>
    <t>min WACC</t>
  </si>
  <si>
    <t>max WACC</t>
  </si>
  <si>
    <t>min lifetime</t>
  </si>
  <si>
    <t>max lifetime</t>
  </si>
  <si>
    <t>darkorange</t>
  </si>
  <si>
    <t>midnightblue</t>
  </si>
  <si>
    <t>silver</t>
  </si>
  <si>
    <t>deepskyblue</t>
  </si>
  <si>
    <t>yellowgreen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</si>
</sst>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.000000000000000%"/>
    <numFmt numFmtId="166" formatCode="0.0%"/>
    <numFmt numFmtId="167" formatCode="0.000000"/>
    <numFmt numFmtId="168" formatCode="_(&quot;$&quot;* #,##0.00000_);_(&quot;$&quot;* \(#,##0.00000\);_(&quot;$&quot;* &quot;-&quot;?????_);_(@_)"/>
  </numFmts>
  <fonts count="4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b/>
      <sz val="9.5"/>
      <color rgb="FFFFFFFF"/>
      <name val="Calibri"/>
      <family val="2"/>
    </font>
    <font>
      <b/>
      <sz val="9.5"/>
      <color rgb="FF000000"/>
      <name val="Calibri"/>
      <family val="2"/>
    </font>
    <font>
      <sz val="9"/>
      <color rgb="FF000000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9"/>
      <color rgb="FFFF0000"/>
      <name val="Calibri"/>
      <family val="2"/>
    </font>
    <font>
      <sz val="9"/>
      <color rgb="FF00B050"/>
      <name val="Calibri"/>
      <family val="2"/>
    </font>
    <font>
      <sz val="9"/>
      <color theme="1"/>
      <name val="Aptos Narrow"/>
      <family val="2"/>
      <scheme val="minor"/>
    </font>
    <font>
      <b/>
      <sz val="9"/>
      <color rgb="FF000000"/>
      <name val="Calibri"/>
      <family val="2"/>
    </font>
    <font>
      <sz val="9"/>
      <color theme="1"/>
      <name val="Calibri (Body)_x0000_"/>
    </font>
    <font>
      <sz val="9"/>
      <name val="Calibri (Body)_x0000_"/>
    </font>
    <font>
      <sz val="10"/>
      <color theme="1"/>
      <name val="Times New Roman"/>
      <family val="1"/>
    </font>
    <font>
      <sz val="14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rgb="FFC00000"/>
      <name val="Calibri"/>
      <family val="2"/>
    </font>
    <font>
      <sz val="10"/>
      <color theme="1"/>
      <name val="Arial"/>
      <family val="2"/>
    </font>
    <font>
      <sz val="8"/>
      <color rgb="FF000000"/>
      <name val="Calibri"/>
      <family val="2"/>
    </font>
    <font>
      <b/>
      <sz val="11"/>
      <color rgb="FFFFFFFF"/>
      <name val="Calibri"/>
      <family val="2"/>
    </font>
    <font>
      <b/>
      <sz val="11"/>
      <color theme="0"/>
      <name val="Calibri"/>
      <family val="2"/>
    </font>
    <font>
      <sz val="11"/>
      <color theme="9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7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22">
    <xf numFmtId="0" fontId="0" fillId="0" borderId="0" xfId="0"/>
    <xf numFmtId="0" fontId="1" fillId="0" borderId="0" xfId="44"/>
    <xf numFmtId="0" fontId="1" fillId="0" borderId="0" xfId="44" applyAlignment="1">
      <alignment wrapText="1"/>
    </xf>
    <xf numFmtId="0" fontId="1" fillId="0" borderId="0" xfId="44" applyAlignment="1">
      <alignment horizontal="center"/>
    </xf>
    <xf numFmtId="0" fontId="18" fillId="0" borderId="0" xfId="44" applyFont="1"/>
    <xf numFmtId="0" fontId="21" fillId="0" borderId="12" xfId="44" applyFont="1" applyBorder="1" applyAlignment="1">
      <alignment vertical="center" wrapText="1"/>
    </xf>
    <xf numFmtId="0" fontId="21" fillId="0" borderId="13" xfId="44" applyFont="1" applyBorder="1" applyAlignment="1">
      <alignment horizontal="center" vertical="center" wrapText="1"/>
    </xf>
    <xf numFmtId="0" fontId="23" fillId="0" borderId="12" xfId="44" applyFont="1" applyBorder="1" applyAlignment="1">
      <alignment vertical="center" wrapText="1"/>
    </xf>
    <xf numFmtId="165" fontId="1" fillId="0" borderId="0" xfId="44" applyNumberFormat="1"/>
    <xf numFmtId="0" fontId="14" fillId="0" borderId="0" xfId="44" applyFont="1"/>
    <xf numFmtId="10" fontId="22" fillId="33" borderId="13" xfId="45" applyNumberFormat="1" applyFont="1" applyFill="1" applyBorder="1" applyAlignment="1">
      <alignment horizontal="center" vertical="center" wrapText="1"/>
    </xf>
    <xf numFmtId="9" fontId="1" fillId="0" borderId="0" xfId="43" applyFont="1" applyFill="1"/>
    <xf numFmtId="0" fontId="1" fillId="33" borderId="18" xfId="44" applyFill="1" applyBorder="1"/>
    <xf numFmtId="0" fontId="1" fillId="33" borderId="19" xfId="44" applyFill="1" applyBorder="1"/>
    <xf numFmtId="0" fontId="31" fillId="33" borderId="17" xfId="44" applyFont="1" applyFill="1" applyBorder="1"/>
    <xf numFmtId="0" fontId="1" fillId="33" borderId="16" xfId="44" applyFill="1" applyBorder="1"/>
    <xf numFmtId="0" fontId="1" fillId="33" borderId="15" xfId="44" applyFill="1" applyBorder="1"/>
    <xf numFmtId="9" fontId="0" fillId="33" borderId="0" xfId="45" applyFont="1" applyFill="1" applyBorder="1"/>
    <xf numFmtId="0" fontId="21" fillId="0" borderId="10" xfId="44" applyFont="1" applyBorder="1" applyAlignment="1">
      <alignment vertical="center" wrapText="1"/>
    </xf>
    <xf numFmtId="0" fontId="23" fillId="0" borderId="10" xfId="44" applyFont="1" applyBorder="1" applyAlignment="1">
      <alignment horizontal="center" vertical="center" wrapText="1"/>
    </xf>
    <xf numFmtId="9" fontId="0" fillId="33" borderId="0" xfId="45" applyFont="1" applyFill="1" applyBorder="1" applyAlignment="1">
      <alignment horizontal="right"/>
    </xf>
    <xf numFmtId="0" fontId="31" fillId="33" borderId="15" xfId="44" applyFont="1" applyFill="1" applyBorder="1"/>
    <xf numFmtId="9" fontId="23" fillId="0" borderId="10" xfId="45" applyFont="1" applyBorder="1" applyAlignment="1">
      <alignment horizontal="center" vertical="center" wrapText="1"/>
    </xf>
    <xf numFmtId="166" fontId="23" fillId="0" borderId="10" xfId="45" applyNumberFormat="1" applyFont="1" applyBorder="1" applyAlignment="1">
      <alignment horizontal="center" vertical="center" wrapText="1"/>
    </xf>
    <xf numFmtId="10" fontId="0" fillId="0" borderId="0" xfId="45" applyNumberFormat="1" applyFont="1" applyFill="1"/>
    <xf numFmtId="10" fontId="21" fillId="33" borderId="10" xfId="44" applyNumberFormat="1" applyFont="1" applyFill="1" applyBorder="1" applyAlignment="1">
      <alignment horizontal="center" vertical="center" wrapText="1"/>
    </xf>
    <xf numFmtId="10" fontId="0" fillId="0" borderId="0" xfId="45" applyNumberFormat="1" applyFont="1"/>
    <xf numFmtId="10" fontId="22" fillId="33" borderId="10" xfId="45" applyNumberFormat="1" applyFont="1" applyFill="1" applyBorder="1" applyAlignment="1">
      <alignment horizontal="center" vertical="center" wrapText="1"/>
    </xf>
    <xf numFmtId="9" fontId="21" fillId="0" borderId="15" xfId="45" applyFont="1" applyBorder="1" applyAlignment="1">
      <alignment horizontal="center" vertical="center" wrapText="1"/>
    </xf>
    <xf numFmtId="9" fontId="26" fillId="0" borderId="10" xfId="44" applyNumberFormat="1" applyFont="1" applyBorder="1" applyAlignment="1">
      <alignment horizontal="center" vertical="center"/>
    </xf>
    <xf numFmtId="9" fontId="26" fillId="33" borderId="10" xfId="45" applyFont="1" applyFill="1" applyBorder="1" applyAlignment="1">
      <alignment horizontal="center"/>
    </xf>
    <xf numFmtId="0" fontId="21" fillId="0" borderId="21" xfId="44" applyFont="1" applyBorder="1" applyAlignment="1">
      <alignment horizontal="center" vertical="center" wrapText="1"/>
    </xf>
    <xf numFmtId="10" fontId="23" fillId="33" borderId="13" xfId="45" applyNumberFormat="1" applyFont="1" applyFill="1" applyBorder="1" applyAlignment="1">
      <alignment horizontal="center" vertical="center" wrapText="1"/>
    </xf>
    <xf numFmtId="0" fontId="37" fillId="34" borderId="12" xfId="44" applyFont="1" applyFill="1" applyBorder="1" applyAlignment="1">
      <alignment horizontal="center" vertical="center" wrapText="1"/>
    </xf>
    <xf numFmtId="0" fontId="37" fillId="34" borderId="13" xfId="44" applyFont="1" applyFill="1" applyBorder="1" applyAlignment="1">
      <alignment horizontal="center" vertical="center" wrapText="1"/>
    </xf>
    <xf numFmtId="44" fontId="1" fillId="0" borderId="0" xfId="44" applyNumberFormat="1"/>
    <xf numFmtId="44" fontId="1" fillId="0" borderId="0" xfId="42" applyFont="1"/>
    <xf numFmtId="0" fontId="39" fillId="0" borderId="0" xfId="44" applyFont="1"/>
    <xf numFmtId="0" fontId="16" fillId="0" borderId="0" xfId="44" applyFont="1"/>
    <xf numFmtId="9" fontId="0" fillId="0" borderId="0" xfId="45" applyFont="1" applyFill="1" applyBorder="1"/>
    <xf numFmtId="1" fontId="38" fillId="35" borderId="21" xfId="44" applyNumberFormat="1" applyFont="1" applyFill="1" applyBorder="1" applyAlignment="1">
      <alignment horizontal="center" vertical="center" wrapText="1"/>
    </xf>
    <xf numFmtId="0" fontId="16" fillId="0" borderId="0" xfId="44" applyFont="1" applyAlignment="1">
      <alignment horizontal="center" wrapText="1"/>
    </xf>
    <xf numFmtId="0" fontId="19" fillId="0" borderId="0" xfId="44" applyFont="1" applyAlignment="1">
      <alignment horizontal="center" vertical="center" wrapText="1"/>
    </xf>
    <xf numFmtId="0" fontId="20" fillId="0" borderId="0" xfId="44" applyFont="1" applyAlignment="1">
      <alignment vertical="center" wrapText="1"/>
    </xf>
    <xf numFmtId="0" fontId="21" fillId="0" borderId="0" xfId="44" applyFont="1" applyAlignment="1">
      <alignment horizontal="center" vertical="center" wrapText="1"/>
    </xf>
    <xf numFmtId="0" fontId="21" fillId="0" borderId="0" xfId="44" applyFont="1" applyAlignment="1">
      <alignment vertical="center" wrapText="1"/>
    </xf>
    <xf numFmtId="0" fontId="22" fillId="0" borderId="0" xfId="44" applyFont="1" applyAlignment="1">
      <alignment horizontal="center" vertical="center" wrapText="1"/>
    </xf>
    <xf numFmtId="0" fontId="23" fillId="0" borderId="0" xfId="44" applyFont="1" applyAlignment="1">
      <alignment horizontal="center" vertical="center" wrapText="1"/>
    </xf>
    <xf numFmtId="1" fontId="23" fillId="0" borderId="0" xfId="44" applyNumberFormat="1" applyFont="1" applyAlignment="1">
      <alignment horizontal="center" vertical="center" wrapText="1"/>
    </xf>
    <xf numFmtId="1" fontId="22" fillId="0" borderId="0" xfId="44" applyNumberFormat="1" applyFont="1" applyAlignment="1">
      <alignment horizontal="center" vertical="center" wrapText="1"/>
    </xf>
    <xf numFmtId="0" fontId="24" fillId="0" borderId="0" xfId="44" applyFont="1" applyAlignment="1">
      <alignment horizontal="center" vertical="center" wrapText="1"/>
    </xf>
    <xf numFmtId="164" fontId="23" fillId="0" borderId="0" xfId="44" applyNumberFormat="1" applyFont="1" applyAlignment="1">
      <alignment horizontal="center" vertical="center" wrapText="1"/>
    </xf>
    <xf numFmtId="0" fontId="21" fillId="0" borderId="0" xfId="44" applyFont="1" applyAlignment="1">
      <alignment horizontal="left" vertical="center" wrapText="1"/>
    </xf>
    <xf numFmtId="1" fontId="21" fillId="0" borderId="0" xfId="44" applyNumberFormat="1" applyFont="1" applyAlignment="1">
      <alignment horizontal="center" vertical="center" wrapText="1"/>
    </xf>
    <xf numFmtId="2" fontId="21" fillId="0" borderId="0" xfId="44" applyNumberFormat="1" applyFont="1" applyAlignment="1">
      <alignment horizontal="center" vertical="center" wrapText="1"/>
    </xf>
    <xf numFmtId="166" fontId="21" fillId="0" borderId="0" xfId="45" applyNumberFormat="1" applyFont="1" applyFill="1" applyBorder="1" applyAlignment="1">
      <alignment horizontal="center" vertical="center" wrapText="1"/>
    </xf>
    <xf numFmtId="166" fontId="25" fillId="0" borderId="0" xfId="45" applyNumberFormat="1" applyFont="1" applyFill="1" applyBorder="1" applyAlignment="1">
      <alignment horizontal="center" vertical="center" wrapText="1"/>
    </xf>
    <xf numFmtId="3" fontId="21" fillId="0" borderId="0" xfId="46" applyNumberFormat="1" applyFont="1" applyFill="1" applyBorder="1" applyAlignment="1">
      <alignment horizontal="center" vertical="center" wrapText="1"/>
    </xf>
    <xf numFmtId="3" fontId="22" fillId="0" borderId="0" xfId="44" applyNumberFormat="1" applyFont="1" applyAlignment="1">
      <alignment horizontal="center" vertical="center" wrapText="1"/>
    </xf>
    <xf numFmtId="3" fontId="26" fillId="0" borderId="0" xfId="44" applyNumberFormat="1" applyFont="1" applyAlignment="1">
      <alignment horizontal="center"/>
    </xf>
    <xf numFmtId="166" fontId="22" fillId="0" borderId="0" xfId="45" applyNumberFormat="1" applyFont="1" applyFill="1" applyBorder="1" applyAlignment="1">
      <alignment horizontal="center" vertical="center" wrapText="1"/>
    </xf>
    <xf numFmtId="10" fontId="22" fillId="0" borderId="0" xfId="45" applyNumberFormat="1" applyFont="1" applyFill="1" applyBorder="1" applyAlignment="1">
      <alignment horizontal="center" vertical="center" wrapText="1"/>
    </xf>
    <xf numFmtId="10" fontId="24" fillId="0" borderId="0" xfId="45" applyNumberFormat="1" applyFont="1" applyFill="1" applyBorder="1" applyAlignment="1">
      <alignment horizontal="center" vertical="center" wrapText="1"/>
    </xf>
    <xf numFmtId="3" fontId="21" fillId="0" borderId="0" xfId="44" applyNumberFormat="1" applyFont="1" applyAlignment="1">
      <alignment horizontal="center" vertical="center" wrapText="1"/>
    </xf>
    <xf numFmtId="3" fontId="24" fillId="0" borderId="0" xfId="44" applyNumberFormat="1" applyFont="1" applyAlignment="1">
      <alignment horizontal="center" vertical="center" wrapText="1"/>
    </xf>
    <xf numFmtId="4" fontId="26" fillId="0" borderId="0" xfId="44" applyNumberFormat="1" applyFont="1" applyAlignment="1">
      <alignment horizontal="center" vertical="center" wrapText="1"/>
    </xf>
    <xf numFmtId="3" fontId="26" fillId="0" borderId="0" xfId="44" applyNumberFormat="1" applyFont="1" applyAlignment="1">
      <alignment horizontal="center" vertical="center" wrapText="1"/>
    </xf>
    <xf numFmtId="3" fontId="28" fillId="0" borderId="0" xfId="44" applyNumberFormat="1" applyFont="1" applyAlignment="1">
      <alignment horizontal="center" vertical="center" wrapText="1"/>
    </xf>
    <xf numFmtId="4" fontId="28" fillId="0" borderId="0" xfId="44" applyNumberFormat="1" applyFont="1" applyAlignment="1">
      <alignment horizontal="center" vertical="center" wrapText="1"/>
    </xf>
    <xf numFmtId="1" fontId="28" fillId="0" borderId="0" xfId="44" applyNumberFormat="1" applyFont="1" applyAlignment="1">
      <alignment horizontal="center" vertical="center" wrapText="1"/>
    </xf>
    <xf numFmtId="1" fontId="29" fillId="0" borderId="0" xfId="44" applyNumberFormat="1" applyFont="1" applyAlignment="1">
      <alignment horizontal="center" vertical="center" wrapText="1"/>
    </xf>
    <xf numFmtId="2" fontId="28" fillId="0" borderId="0" xfId="44" applyNumberFormat="1" applyFont="1" applyAlignment="1">
      <alignment horizontal="center" vertical="center" wrapText="1"/>
    </xf>
    <xf numFmtId="0" fontId="30" fillId="0" borderId="0" xfId="44" applyFont="1" applyAlignment="1">
      <alignment vertical="center" wrapText="1"/>
    </xf>
    <xf numFmtId="1" fontId="32" fillId="0" borderId="0" xfId="44" applyNumberFormat="1" applyFont="1" applyAlignment="1">
      <alignment horizontal="center" vertical="center" wrapText="1"/>
    </xf>
    <xf numFmtId="1" fontId="26" fillId="0" borderId="0" xfId="44" applyNumberFormat="1" applyFont="1" applyAlignment="1">
      <alignment horizontal="center" vertical="center" wrapText="1"/>
    </xf>
    <xf numFmtId="1" fontId="33" fillId="0" borderId="0" xfId="44" applyNumberFormat="1" applyFont="1" applyAlignment="1">
      <alignment horizontal="center" vertical="center" wrapText="1"/>
    </xf>
    <xf numFmtId="1" fontId="24" fillId="0" borderId="0" xfId="44" applyNumberFormat="1" applyFont="1" applyAlignment="1">
      <alignment horizontal="center" vertical="center" wrapText="1"/>
    </xf>
    <xf numFmtId="0" fontId="34" fillId="0" borderId="0" xfId="44" applyFont="1" applyAlignment="1">
      <alignment horizontal="center" vertical="center" wrapText="1"/>
    </xf>
    <xf numFmtId="0" fontId="26" fillId="0" borderId="0" xfId="44" applyFont="1"/>
    <xf numFmtId="9" fontId="23" fillId="0" borderId="0" xfId="45" applyFont="1" applyFill="1" applyBorder="1" applyAlignment="1">
      <alignment horizontal="center" vertical="center" wrapText="1"/>
    </xf>
    <xf numFmtId="9" fontId="21" fillId="0" borderId="0" xfId="45" applyFont="1" applyFill="1" applyBorder="1" applyAlignment="1">
      <alignment horizontal="center" vertical="center" wrapText="1"/>
    </xf>
    <xf numFmtId="0" fontId="26" fillId="0" borderId="0" xfId="44" applyFont="1" applyAlignment="1">
      <alignment vertical="center"/>
    </xf>
    <xf numFmtId="166" fontId="23" fillId="0" borderId="0" xfId="45" applyNumberFormat="1" applyFont="1" applyFill="1" applyBorder="1" applyAlignment="1">
      <alignment horizontal="center" vertical="center" wrapText="1"/>
    </xf>
    <xf numFmtId="9" fontId="22" fillId="0" borderId="0" xfId="45" applyFont="1" applyFill="1" applyBorder="1" applyAlignment="1">
      <alignment horizontal="center" vertical="center" wrapText="1"/>
    </xf>
    <xf numFmtId="9" fontId="24" fillId="0" borderId="0" xfId="45" applyFont="1" applyFill="1" applyBorder="1" applyAlignment="1">
      <alignment horizontal="center" vertical="center" wrapText="1"/>
    </xf>
    <xf numFmtId="9" fontId="34" fillId="0" borderId="0" xfId="45" applyFont="1" applyFill="1" applyBorder="1" applyAlignment="1">
      <alignment horizontal="center" vertical="center" wrapText="1"/>
    </xf>
    <xf numFmtId="166" fontId="24" fillId="0" borderId="0" xfId="45" applyNumberFormat="1" applyFont="1" applyFill="1" applyBorder="1" applyAlignment="1">
      <alignment horizontal="center" vertical="center" wrapText="1"/>
    </xf>
    <xf numFmtId="166" fontId="34" fillId="0" borderId="0" xfId="45" applyNumberFormat="1" applyFont="1" applyFill="1" applyBorder="1" applyAlignment="1">
      <alignment horizontal="center" vertical="center" wrapText="1"/>
    </xf>
    <xf numFmtId="10" fontId="21" fillId="0" borderId="0" xfId="44" applyNumberFormat="1" applyFont="1" applyAlignment="1">
      <alignment horizontal="center" vertical="center" wrapText="1"/>
    </xf>
    <xf numFmtId="10" fontId="24" fillId="0" borderId="0" xfId="44" applyNumberFormat="1" applyFont="1" applyAlignment="1">
      <alignment horizontal="center" vertical="center" wrapText="1"/>
    </xf>
    <xf numFmtId="9" fontId="26" fillId="0" borderId="0" xfId="44" applyNumberFormat="1" applyFont="1" applyAlignment="1">
      <alignment horizontal="center" vertical="center"/>
    </xf>
    <xf numFmtId="0" fontId="36" fillId="0" borderId="0" xfId="44" applyFont="1" applyAlignment="1">
      <alignment vertical="center" wrapText="1"/>
    </xf>
    <xf numFmtId="9" fontId="26" fillId="0" borderId="0" xfId="45" applyFont="1" applyFill="1" applyBorder="1" applyAlignment="1">
      <alignment horizontal="center"/>
    </xf>
    <xf numFmtId="10" fontId="23" fillId="0" borderId="0" xfId="45" applyNumberFormat="1" applyFont="1" applyFill="1" applyBorder="1" applyAlignment="1">
      <alignment horizontal="center" vertical="center" wrapText="1"/>
    </xf>
    <xf numFmtId="1" fontId="38" fillId="0" borderId="0" xfId="44" applyNumberFormat="1" applyFont="1" applyAlignment="1">
      <alignment horizontal="center" vertical="center" wrapText="1"/>
    </xf>
    <xf numFmtId="0" fontId="37" fillId="0" borderId="0" xfId="44" applyFont="1" applyAlignment="1">
      <alignment horizontal="left" vertical="center" wrapText="1"/>
    </xf>
    <xf numFmtId="0" fontId="37" fillId="0" borderId="0" xfId="44" applyFont="1" applyAlignment="1">
      <alignment horizontal="center" vertical="center" wrapText="1"/>
    </xf>
    <xf numFmtId="44" fontId="1" fillId="0" borderId="0" xfId="42" applyFont="1" applyFill="1" applyBorder="1"/>
    <xf numFmtId="1" fontId="1" fillId="0" borderId="0" xfId="44" applyNumberFormat="1"/>
    <xf numFmtId="167" fontId="1" fillId="0" borderId="0" xfId="44" applyNumberFormat="1"/>
    <xf numFmtId="166" fontId="1" fillId="0" borderId="0" xfId="43" applyNumberFormat="1" applyFont="1" applyFill="1" applyBorder="1"/>
    <xf numFmtId="168" fontId="39" fillId="0" borderId="0" xfId="44" applyNumberFormat="1" applyFont="1"/>
    <xf numFmtId="0" fontId="16" fillId="0" borderId="0" xfId="44" applyFont="1" applyAlignment="1">
      <alignment wrapText="1"/>
    </xf>
    <xf numFmtId="3" fontId="1" fillId="0" borderId="0" xfId="44" applyNumberFormat="1"/>
    <xf numFmtId="166" fontId="1" fillId="0" borderId="0" xfId="44" applyNumberFormat="1"/>
    <xf numFmtId="9" fontId="1" fillId="0" borderId="0" xfId="44" applyNumberFormat="1"/>
    <xf numFmtId="9" fontId="35" fillId="0" borderId="0" xfId="44" applyNumberFormat="1" applyFont="1"/>
    <xf numFmtId="0" fontId="23" fillId="0" borderId="0" xfId="44" applyFont="1" applyAlignment="1">
      <alignment vertical="center" wrapText="1"/>
    </xf>
    <xf numFmtId="0" fontId="27" fillId="0" borderId="0" xfId="44" applyFont="1" applyAlignment="1">
      <alignment vertical="center" wrapText="1"/>
    </xf>
    <xf numFmtId="0" fontId="26" fillId="0" borderId="0" xfId="44" applyFont="1" applyAlignment="1">
      <alignment horizontal="center" vertical="center" wrapText="1"/>
    </xf>
    <xf numFmtId="0" fontId="21" fillId="0" borderId="0" xfId="44" applyFont="1" applyAlignment="1">
      <alignment horizontal="left" vertical="center" wrapText="1" indent="1"/>
    </xf>
    <xf numFmtId="0" fontId="21" fillId="0" borderId="11" xfId="44" applyFont="1" applyBorder="1" applyAlignment="1">
      <alignment horizontal="center" vertical="center" wrapText="1"/>
    </xf>
    <xf numFmtId="0" fontId="1" fillId="33" borderId="0" xfId="44" applyFill="1"/>
    <xf numFmtId="2" fontId="1" fillId="33" borderId="0" xfId="44" applyNumberFormat="1" applyFill="1"/>
    <xf numFmtId="0" fontId="1" fillId="33" borderId="20" xfId="44" applyFill="1" applyBorder="1"/>
    <xf numFmtId="0" fontId="1" fillId="33" borderId="21" xfId="44" applyFill="1" applyBorder="1"/>
    <xf numFmtId="164" fontId="1" fillId="33" borderId="21" xfId="44" applyNumberFormat="1" applyFill="1" applyBorder="1"/>
    <xf numFmtId="0" fontId="31" fillId="33" borderId="13" xfId="44" applyFont="1" applyFill="1" applyBorder="1"/>
    <xf numFmtId="9" fontId="26" fillId="33" borderId="14" xfId="43" applyFont="1" applyFill="1" applyBorder="1" applyAlignment="1">
      <alignment horizontal="center"/>
    </xf>
    <xf numFmtId="2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47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2" xfId="46" xr:uid="{22C1FD41-F5CF-4D63-A8BA-F6697C336A31}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4" xr:uid="{A095A806-3F62-4365-B9BA-A6352F99C39B}"/>
    <cellStyle name="Note" xfId="15" builtinId="10" customBuiltin="1"/>
    <cellStyle name="Output" xfId="10" builtinId="21" customBuiltin="1"/>
    <cellStyle name="Percent" xfId="43" builtinId="5"/>
    <cellStyle name="Percent 2" xfId="45" xr:uid="{66C46B5F-8F46-4A91-9D9D-622D5FFCD595}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1C0D5-C121-4ED6-AD58-8152AA443BAF}">
  <dimension ref="A1:H6"/>
  <sheetViews>
    <sheetView tabSelected="1" zoomScaleNormal="100" workbookViewId="0">
      <selection activeCell="B3" sqref="B3"/>
    </sheetView>
  </sheetViews>
  <sheetFormatPr defaultRowHeight="15"/>
  <cols>
    <col min="1" max="1" width="39.140625" bestFit="1" customWidth="1"/>
    <col min="3" max="3" width="12.28515625" bestFit="1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119">
        <f>($E$2*'Fixed Charge Rates'!$C$19+$F$3)/($F$4/100*8760/1000)</f>
        <v>146.20621233474469</v>
      </c>
      <c r="C2" s="119">
        <f>($F$2*'Fixed Charge Rates'!$C$19+$F$3)/($F$4/100*8766/1000)</f>
        <v>182.68796593850746</v>
      </c>
      <c r="D2" s="119">
        <f>($G$2*'Fixed Charge Rates'!$C$19+$F$3)/($F$4/100*8760/1000)</f>
        <v>219.41997702985725</v>
      </c>
      <c r="E2">
        <f>F2*0.75</f>
        <v>6179.3161098362516</v>
      </c>
      <c r="F2" s="120">
        <v>8239.0881464483355</v>
      </c>
      <c r="G2">
        <f>F2*1.25</f>
        <v>10298.86018306042</v>
      </c>
      <c r="H2" t="s">
        <v>49</v>
      </c>
    </row>
    <row r="3" spans="1:8">
      <c r="A3" t="s">
        <v>9</v>
      </c>
      <c r="B3" s="119">
        <f>($F$2*'Fixed Charge Rates'!$C$19+$E$3)/($F$4/100*8760/1000)</f>
        <v>164.62031203626302</v>
      </c>
      <c r="C3" s="119">
        <f>($F$2*'Fixed Charge Rates'!$C$19+$F$3)/($F$4/100*8766/1000)</f>
        <v>182.68796593850746</v>
      </c>
      <c r="D3" s="119">
        <f>($F$2*'Fixed Charge Rates'!$C$19+$G$3)/($F$4/100*8760/1000)</f>
        <v>201.00587732833893</v>
      </c>
      <c r="E3">
        <f>F3*0.5</f>
        <v>72.28380559654839</v>
      </c>
      <c r="F3" s="120">
        <v>144.56761119309678</v>
      </c>
      <c r="G3">
        <f>F3*1.5</f>
        <v>216.85141678964516</v>
      </c>
      <c r="H3" t="s">
        <v>50</v>
      </c>
    </row>
    <row r="4" spans="1:8">
      <c r="A4" t="s">
        <v>10</v>
      </c>
      <c r="B4" s="119">
        <f>($F$2*'Fixed Charge Rates'!$C$19+$F$3)/($E$4/100*8760/1000)</f>
        <v>150.75869975520115</v>
      </c>
      <c r="C4" s="119">
        <f>($F$2*'Fixed Charge Rates'!$C$19+$F$3)/($F$4/100*8766/1000)</f>
        <v>182.68796593850746</v>
      </c>
      <c r="D4" s="119">
        <f>($F$2*'Fixed Charge Rates'!$C$19+$F$3)/($G$4/100*8760/1000)</f>
        <v>236.90652818674465</v>
      </c>
      <c r="E4">
        <v>55</v>
      </c>
      <c r="F4" s="121">
        <f>0.453563159736764*100</f>
        <v>45.356315973676395</v>
      </c>
      <c r="G4">
        <v>35</v>
      </c>
      <c r="H4" t="s">
        <v>51</v>
      </c>
    </row>
    <row r="5" spans="1:8">
      <c r="A5" t="s">
        <v>11</v>
      </c>
      <c r="B5" s="119">
        <f>($F$2*'Fixed Charge Rates'!$D$19+$F$3)/($F$4/100*8760/1000)</f>
        <v>156.5780014291997</v>
      </c>
      <c r="C5" s="119">
        <f>($F$2*'Fixed Charge Rates'!$C$19+$F$3)/($F$4/100*8766/1000)</f>
        <v>182.68796593850746</v>
      </c>
      <c r="D5" s="119">
        <f>($F$2*'Fixed Charge Rates'!$E$19+$F$3)/($F$4/100*8760/1000)</f>
        <v>211.75956741381722</v>
      </c>
      <c r="E5">
        <f>F5*0.75</f>
        <v>5.2548037125000002</v>
      </c>
      <c r="F5" s="119">
        <f>'Fixed Charge Rates'!C10*100</f>
        <v>7.0064049500000003</v>
      </c>
      <c r="G5">
        <f>F5*1.25</f>
        <v>8.7580061875000013</v>
      </c>
      <c r="H5" t="s">
        <v>52</v>
      </c>
    </row>
    <row r="6" spans="1:8">
      <c r="A6" t="s">
        <v>12</v>
      </c>
      <c r="B6" s="119">
        <f>($F$2*'Fixed Charge Rates'!$G$19+$F$3)/($F$4/100*8760/1000)</f>
        <v>160.37231479209706</v>
      </c>
      <c r="C6" s="119">
        <f>($F$2*'Fixed Charge Rates'!$C$19+$F$3)/($F$4/100*8766/1000)</f>
        <v>182.68796593850746</v>
      </c>
      <c r="D6" s="119">
        <f>($F$2*'Fixed Charge Rates'!$F$19+$F$3)/($F$4/100*8760/1000)</f>
        <v>239.27962174993675</v>
      </c>
      <c r="E6">
        <v>35</v>
      </c>
      <c r="F6">
        <v>25</v>
      </c>
      <c r="G6">
        <v>15</v>
      </c>
      <c r="H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EC336-D791-4DFF-8CBB-725080F4D122}">
  <dimension ref="A1:AO130"/>
  <sheetViews>
    <sheetView zoomScaleNormal="100" workbookViewId="0">
      <selection activeCell="D10" sqref="D10"/>
    </sheetView>
  </sheetViews>
  <sheetFormatPr defaultColWidth="29.7109375" defaultRowHeight="15"/>
  <cols>
    <col min="1" max="1" width="30.140625" style="1" bestFit="1" customWidth="1"/>
    <col min="2" max="2" width="4.5703125" style="1" bestFit="1" customWidth="1"/>
    <col min="3" max="3" width="10.85546875" style="1" bestFit="1" customWidth="1"/>
    <col min="4" max="4" width="11.42578125" style="1" customWidth="1"/>
    <col min="5" max="5" width="12.140625" style="1" bestFit="1" customWidth="1"/>
    <col min="6" max="6" width="12.5703125" style="1" bestFit="1" customWidth="1"/>
    <col min="7" max="7" width="13.140625" style="1" bestFit="1" customWidth="1"/>
    <col min="8" max="8" width="29.7109375" style="1"/>
    <col min="9" max="9" width="21.7109375" style="1" bestFit="1" customWidth="1"/>
    <col min="10" max="10" width="6.42578125" style="1" bestFit="1" customWidth="1"/>
    <col min="11" max="11" width="16" style="1" bestFit="1" customWidth="1"/>
    <col min="12" max="12" width="6.42578125" style="1" bestFit="1" customWidth="1"/>
    <col min="13" max="29" width="5.42578125" style="1" bestFit="1" customWidth="1"/>
    <col min="30" max="32" width="10.85546875" style="1" bestFit="1" customWidth="1"/>
    <col min="33" max="16384" width="29.7109375" style="1"/>
  </cols>
  <sheetData>
    <row r="1" spans="1:36" ht="15.75" thickBot="1">
      <c r="C1" s="38" t="s">
        <v>43</v>
      </c>
      <c r="D1" s="102" t="s">
        <v>44</v>
      </c>
      <c r="E1" s="102" t="s">
        <v>45</v>
      </c>
      <c r="F1" s="102" t="s">
        <v>46</v>
      </c>
      <c r="G1" s="38" t="s">
        <v>47</v>
      </c>
      <c r="H1" s="2"/>
    </row>
    <row r="2" spans="1:36" ht="24.75" thickBot="1">
      <c r="A2" s="18" t="s">
        <v>24</v>
      </c>
      <c r="B2" s="111" t="s">
        <v>25</v>
      </c>
      <c r="C2" s="19">
        <v>25</v>
      </c>
      <c r="D2" s="19">
        <v>25</v>
      </c>
      <c r="E2" s="19">
        <v>25</v>
      </c>
      <c r="F2" s="19">
        <v>15</v>
      </c>
      <c r="G2" s="19">
        <v>35</v>
      </c>
      <c r="H2" s="3"/>
    </row>
    <row r="3" spans="1:36" ht="24.75" thickBot="1">
      <c r="A3" s="5" t="s">
        <v>26</v>
      </c>
      <c r="B3" s="6" t="s">
        <v>13</v>
      </c>
      <c r="C3" s="22">
        <f>SUM(C4,C5)</f>
        <v>0.25700000000000001</v>
      </c>
      <c r="D3" s="22">
        <f>SUM(D4,D5)</f>
        <v>0.25700000000000001</v>
      </c>
      <c r="E3" s="22">
        <f>SUM(E4,E5)</f>
        <v>0.25700000000000001</v>
      </c>
      <c r="F3" s="22">
        <f>SUM(F4,F5)</f>
        <v>0.25700000000000001</v>
      </c>
      <c r="G3" s="22">
        <f>SUM(G4,G5)</f>
        <v>0.25700000000000001</v>
      </c>
      <c r="H3" s="3"/>
    </row>
    <row r="4" spans="1:36" ht="19.5" thickBot="1">
      <c r="A4" s="5" t="s">
        <v>27</v>
      </c>
      <c r="B4" s="6" t="s">
        <v>13</v>
      </c>
      <c r="C4" s="22">
        <v>0.21</v>
      </c>
      <c r="D4" s="22">
        <v>0.21</v>
      </c>
      <c r="E4" s="22">
        <v>0.21</v>
      </c>
      <c r="F4" s="22">
        <v>0.21</v>
      </c>
      <c r="G4" s="22">
        <v>0.21</v>
      </c>
      <c r="I4" s="12" t="s">
        <v>14</v>
      </c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4"/>
    </row>
    <row r="5" spans="1:36" ht="15.75" thickBot="1">
      <c r="A5" s="5" t="s">
        <v>28</v>
      </c>
      <c r="B5" s="6" t="s">
        <v>13</v>
      </c>
      <c r="C5" s="23">
        <v>4.7E-2</v>
      </c>
      <c r="D5" s="23">
        <v>4.7E-2</v>
      </c>
      <c r="E5" s="23">
        <v>4.7E-2</v>
      </c>
      <c r="F5" s="23">
        <v>4.7E-2</v>
      </c>
      <c r="G5" s="23">
        <v>4.7E-2</v>
      </c>
      <c r="I5" s="15" t="s">
        <v>15</v>
      </c>
      <c r="J5" s="112" t="s">
        <v>16</v>
      </c>
      <c r="K5" s="112" t="s">
        <v>17</v>
      </c>
      <c r="L5" s="112">
        <v>1</v>
      </c>
      <c r="M5" s="112">
        <v>2</v>
      </c>
      <c r="N5" s="112">
        <v>3</v>
      </c>
      <c r="O5" s="112">
        <v>4</v>
      </c>
      <c r="P5" s="112">
        <v>5</v>
      </c>
      <c r="Q5" s="112">
        <v>6</v>
      </c>
      <c r="R5" s="112">
        <v>7</v>
      </c>
      <c r="S5" s="112">
        <v>8</v>
      </c>
      <c r="T5" s="112">
        <v>9</v>
      </c>
      <c r="U5" s="112">
        <v>10</v>
      </c>
      <c r="V5" s="112">
        <v>11</v>
      </c>
      <c r="W5" s="112">
        <v>12</v>
      </c>
      <c r="X5" s="112">
        <v>13</v>
      </c>
      <c r="Y5" s="112">
        <v>14</v>
      </c>
      <c r="Z5" s="112">
        <v>15</v>
      </c>
      <c r="AA5" s="112">
        <v>16</v>
      </c>
      <c r="AB5" s="112">
        <v>17</v>
      </c>
      <c r="AC5" s="112">
        <v>18</v>
      </c>
      <c r="AD5" s="112">
        <v>19</v>
      </c>
      <c r="AE5" s="112">
        <v>20</v>
      </c>
      <c r="AF5" s="16">
        <v>21</v>
      </c>
    </row>
    <row r="6" spans="1:36" s="2" customFormat="1" ht="36" customHeight="1" thickBot="1">
      <c r="A6" s="5" t="s">
        <v>29</v>
      </c>
      <c r="B6" s="6" t="s">
        <v>13</v>
      </c>
      <c r="C6" s="23">
        <v>2.5000000000000001E-2</v>
      </c>
      <c r="D6" s="23">
        <v>2.5000000000000001E-2</v>
      </c>
      <c r="E6" s="23">
        <v>2.5000000000000001E-2</v>
      </c>
      <c r="F6" s="23">
        <v>2.5000000000000001E-2</v>
      </c>
      <c r="G6" s="23">
        <v>2.5000000000000001E-2</v>
      </c>
      <c r="H6" s="41"/>
      <c r="I6" s="15" t="s">
        <v>18</v>
      </c>
      <c r="J6" s="112">
        <v>0.99999999999999989</v>
      </c>
      <c r="K6" s="17">
        <f>NPV(L82,$L$6:$Q$6)*L86</f>
        <v>0</v>
      </c>
      <c r="L6" s="113">
        <v>0.2</v>
      </c>
      <c r="M6" s="113">
        <v>0.32</v>
      </c>
      <c r="N6" s="113">
        <v>0.192</v>
      </c>
      <c r="O6" s="113">
        <v>0.1152</v>
      </c>
      <c r="P6" s="113">
        <v>0.1152</v>
      </c>
      <c r="Q6" s="113">
        <v>5.7599999999999998E-2</v>
      </c>
      <c r="R6" s="112"/>
      <c r="S6" s="112"/>
      <c r="T6" s="112"/>
      <c r="U6" s="112"/>
      <c r="V6" s="112"/>
      <c r="W6" s="112"/>
      <c r="X6" s="112"/>
      <c r="Y6" s="112"/>
      <c r="Z6" s="112"/>
      <c r="AA6" s="112"/>
      <c r="AB6" s="112"/>
      <c r="AC6" s="112"/>
      <c r="AD6" s="112"/>
      <c r="AE6" s="112"/>
      <c r="AF6" s="16"/>
    </row>
    <row r="7" spans="1:36" ht="15.75" thickBot="1">
      <c r="A7" s="5" t="s">
        <v>30</v>
      </c>
      <c r="B7" s="6" t="s">
        <v>13</v>
      </c>
      <c r="C7" s="22">
        <v>0.61609999999999998</v>
      </c>
      <c r="D7" s="22">
        <v>0.61609999999999998</v>
      </c>
      <c r="E7" s="22">
        <v>0.61609999999999998</v>
      </c>
      <c r="F7" s="22">
        <v>0.61609999999999998</v>
      </c>
      <c r="G7" s="22">
        <v>0.61609999999999998</v>
      </c>
      <c r="H7" s="42"/>
      <c r="I7" s="15"/>
      <c r="J7" s="112"/>
      <c r="K7" s="17"/>
      <c r="L7" s="113"/>
      <c r="M7" s="113"/>
      <c r="N7" s="113"/>
      <c r="O7" s="113"/>
      <c r="P7" s="113"/>
      <c r="Q7" s="113"/>
      <c r="R7" s="112"/>
      <c r="S7" s="112"/>
      <c r="T7" s="112"/>
      <c r="U7" s="112"/>
      <c r="V7" s="112"/>
      <c r="W7" s="112"/>
      <c r="X7" s="112"/>
      <c r="Y7" s="112"/>
      <c r="Z7" s="112"/>
      <c r="AA7" s="112"/>
      <c r="AB7" s="112"/>
      <c r="AC7" s="112"/>
      <c r="AD7" s="112"/>
      <c r="AE7" s="112"/>
      <c r="AF7" s="16"/>
    </row>
    <row r="8" spans="1:36" ht="15.75" thickBot="1">
      <c r="A8" s="5" t="s">
        <v>31</v>
      </c>
      <c r="B8" s="6" t="s">
        <v>13</v>
      </c>
      <c r="C8" s="23">
        <v>6.5000000000000002E-2</v>
      </c>
      <c r="D8" s="23">
        <v>6.5000000000000002E-2</v>
      </c>
      <c r="E8" s="23">
        <v>6.5000000000000002E-2</v>
      </c>
      <c r="F8" s="23">
        <v>6.5000000000000002E-2</v>
      </c>
      <c r="G8" s="23">
        <v>6.5000000000000002E-2</v>
      </c>
      <c r="I8" s="15"/>
      <c r="J8" s="112"/>
      <c r="K8" s="17"/>
      <c r="L8" s="113"/>
      <c r="M8" s="113"/>
      <c r="N8" s="113"/>
      <c r="O8" s="113"/>
      <c r="P8" s="113"/>
      <c r="Q8" s="113"/>
      <c r="R8" s="112"/>
      <c r="S8" s="112"/>
      <c r="T8" s="112"/>
      <c r="U8" s="112"/>
      <c r="V8" s="112"/>
      <c r="W8" s="112"/>
      <c r="X8" s="112"/>
      <c r="Y8" s="112"/>
      <c r="Z8" s="112"/>
      <c r="AA8" s="112"/>
      <c r="AB8" s="112"/>
      <c r="AC8" s="112"/>
      <c r="AD8" s="112"/>
      <c r="AE8" s="112"/>
      <c r="AF8" s="16"/>
    </row>
    <row r="9" spans="1:36" ht="15.75" thickBot="1">
      <c r="A9" s="5" t="s">
        <v>32</v>
      </c>
      <c r="B9" s="6" t="s">
        <v>13</v>
      </c>
      <c r="C9" s="23">
        <v>0.105</v>
      </c>
      <c r="D9" s="23">
        <v>0.105</v>
      </c>
      <c r="E9" s="23">
        <v>0.105</v>
      </c>
      <c r="F9" s="23">
        <v>0.105</v>
      </c>
      <c r="G9" s="23">
        <v>0.105</v>
      </c>
      <c r="H9" s="43"/>
      <c r="I9" s="15"/>
      <c r="J9" s="112"/>
      <c r="K9" s="17"/>
      <c r="L9" s="113"/>
      <c r="M9" s="113"/>
      <c r="N9" s="113"/>
      <c r="O9" s="113"/>
      <c r="P9" s="113"/>
      <c r="Q9" s="113"/>
      <c r="R9" s="112"/>
      <c r="S9" s="112"/>
      <c r="T9" s="112"/>
      <c r="U9" s="112"/>
      <c r="V9" s="112"/>
      <c r="W9" s="112"/>
      <c r="X9" s="112"/>
      <c r="Y9" s="112"/>
      <c r="Z9" s="112"/>
      <c r="AA9" s="112"/>
      <c r="AB9" s="112"/>
      <c r="AC9" s="112"/>
      <c r="AD9" s="112"/>
      <c r="AE9" s="112"/>
      <c r="AF9" s="16"/>
    </row>
    <row r="10" spans="1:36" ht="15.75" thickBot="1">
      <c r="A10" s="5" t="s">
        <v>33</v>
      </c>
      <c r="B10" s="6" t="s">
        <v>13</v>
      </c>
      <c r="C10" s="25">
        <f>C7*(C8*(1-C3))+(1-C7)*C9</f>
        <v>7.0064049500000003E-2</v>
      </c>
      <c r="D10" s="25">
        <f>FLOW_Sensitivity!E5/100</f>
        <v>5.2548037125000002E-2</v>
      </c>
      <c r="E10" s="25">
        <f>FLOW_Sensitivity!G5/100</f>
        <v>8.7580061875000018E-2</v>
      </c>
      <c r="F10" s="25">
        <f>F7*(F8*(1-F3))+(1-F7)*F9</f>
        <v>7.0064049500000003E-2</v>
      </c>
      <c r="G10" s="25">
        <f>G7*(G8*(1-G3))+(1-G7)*G9</f>
        <v>7.0064049500000003E-2</v>
      </c>
      <c r="H10" s="44"/>
      <c r="I10" s="15" t="s">
        <v>19</v>
      </c>
      <c r="J10" s="112">
        <v>0.99999999999999989</v>
      </c>
      <c r="K10" s="17">
        <f>NPV(L82,$L$10:$Q$10)*L86</f>
        <v>0</v>
      </c>
      <c r="L10" s="113">
        <v>0.1</v>
      </c>
      <c r="M10" s="113">
        <v>0.2</v>
      </c>
      <c r="N10" s="113">
        <v>0.2</v>
      </c>
      <c r="O10" s="113">
        <v>0.2</v>
      </c>
      <c r="P10" s="113">
        <v>0.2</v>
      </c>
      <c r="Q10" s="113">
        <v>0.1</v>
      </c>
      <c r="R10" s="112"/>
      <c r="S10" s="112"/>
      <c r="T10" s="112"/>
      <c r="U10" s="112"/>
      <c r="V10" s="112"/>
      <c r="W10" s="112"/>
      <c r="X10" s="112"/>
      <c r="Y10" s="112"/>
      <c r="Z10" s="112"/>
      <c r="AA10" s="112"/>
      <c r="AB10" s="112"/>
      <c r="AC10" s="112"/>
      <c r="AD10" s="112"/>
      <c r="AE10" s="112"/>
      <c r="AF10" s="16"/>
    </row>
    <row r="11" spans="1:36" ht="17.100000000000001" customHeight="1" thickBot="1">
      <c r="A11" s="5" t="s">
        <v>34</v>
      </c>
      <c r="B11" s="6" t="s">
        <v>13</v>
      </c>
      <c r="C11" s="25">
        <f>(1+C10)/(1+C6)-1</f>
        <v>4.3964926341463428E-2</v>
      </c>
      <c r="D11" s="25">
        <f>(1+D10)/(1+D6)-1</f>
        <v>2.6876133780487921E-2</v>
      </c>
      <c r="E11" s="25">
        <f>(1+E10)/(1+E6)-1</f>
        <v>6.1053718902439158E-2</v>
      </c>
      <c r="F11" s="25">
        <f>(1+F10)/(1+F6)-1</f>
        <v>4.3964926341463428E-2</v>
      </c>
      <c r="G11" s="25">
        <f>(1+G10)/(1+G6)-1</f>
        <v>4.3964926341463428E-2</v>
      </c>
      <c r="H11" s="46"/>
      <c r="I11" s="15" t="s">
        <v>20</v>
      </c>
      <c r="J11" s="112">
        <v>0.99999999999999989</v>
      </c>
      <c r="K11" s="17">
        <f>NPV(L82,$L$11:$V$11)*L86</f>
        <v>0</v>
      </c>
      <c r="L11" s="112">
        <v>0.05</v>
      </c>
      <c r="M11" s="112">
        <v>0.1</v>
      </c>
      <c r="N11" s="112">
        <v>0.1</v>
      </c>
      <c r="O11" s="112">
        <v>0.1</v>
      </c>
      <c r="P11" s="112">
        <v>0.1</v>
      </c>
      <c r="Q11" s="112">
        <v>0.1</v>
      </c>
      <c r="R11" s="112">
        <v>0.1</v>
      </c>
      <c r="S11" s="112">
        <v>0.1</v>
      </c>
      <c r="T11" s="112">
        <v>0.1</v>
      </c>
      <c r="U11" s="112">
        <v>0.1</v>
      </c>
      <c r="V11" s="112">
        <v>0.05</v>
      </c>
      <c r="W11" s="112"/>
      <c r="X11" s="112"/>
      <c r="Y11" s="112"/>
      <c r="Z11" s="112"/>
      <c r="AA11" s="112"/>
      <c r="AB11" s="112"/>
      <c r="AC11" s="112"/>
      <c r="AD11" s="112"/>
      <c r="AE11" s="112"/>
      <c r="AF11" s="16"/>
    </row>
    <row r="12" spans="1:36" ht="15" customHeight="1" thickBot="1">
      <c r="A12" s="5" t="s">
        <v>35</v>
      </c>
      <c r="B12" s="6" t="s">
        <v>13</v>
      </c>
      <c r="C12" s="27">
        <f>(C10*(1+C10)^C2)/((1+C10)^C2-1)</f>
        <v>8.5860034888964293E-2</v>
      </c>
      <c r="D12" s="27">
        <f>(D10*(1+D10)^D2)/((1+D10)^D2-1)</f>
        <v>7.277521897222991E-2</v>
      </c>
      <c r="E12" s="27">
        <f>(E10*(1+E10)^E2)/((1+E10)^E2-1)</f>
        <v>9.9817026251139682E-2</v>
      </c>
      <c r="F12" s="27">
        <f>(F10*(1+F10)^F2)/((1+F10)^F2-1)</f>
        <v>0.10983904596326959</v>
      </c>
      <c r="G12" s="27">
        <f>(G10*(1+G10)^G2)/((1+G10)^G2-1)</f>
        <v>7.7287912577529191E-2</v>
      </c>
      <c r="H12" s="47"/>
      <c r="I12" s="15" t="s">
        <v>21</v>
      </c>
      <c r="J12" s="112">
        <v>1.0000000000000002</v>
      </c>
      <c r="K12" s="17">
        <f>NPV(L82,$L$12:$AF$12)*L86</f>
        <v>0</v>
      </c>
      <c r="L12" s="112">
        <v>2.5000000000000001E-2</v>
      </c>
      <c r="M12" s="112">
        <v>0.05</v>
      </c>
      <c r="N12" s="112">
        <v>0.05</v>
      </c>
      <c r="O12" s="112">
        <v>0.05</v>
      </c>
      <c r="P12" s="112">
        <v>0.05</v>
      </c>
      <c r="Q12" s="112">
        <v>0.05</v>
      </c>
      <c r="R12" s="112">
        <v>0.05</v>
      </c>
      <c r="S12" s="112">
        <v>0.05</v>
      </c>
      <c r="T12" s="112">
        <v>0.05</v>
      </c>
      <c r="U12" s="112">
        <v>0.05</v>
      </c>
      <c r="V12" s="112">
        <v>0.05</v>
      </c>
      <c r="W12" s="112">
        <v>0.05</v>
      </c>
      <c r="X12" s="112">
        <v>0.05</v>
      </c>
      <c r="Y12" s="112">
        <v>0.05</v>
      </c>
      <c r="Z12" s="112">
        <v>0.05</v>
      </c>
      <c r="AA12" s="112">
        <v>0.05</v>
      </c>
      <c r="AB12" s="112">
        <v>0.05</v>
      </c>
      <c r="AC12" s="112">
        <v>0.05</v>
      </c>
      <c r="AD12" s="112">
        <v>0.05</v>
      </c>
      <c r="AE12" s="112">
        <v>0.05</v>
      </c>
      <c r="AF12" s="16">
        <v>2.5000000000000001E-2</v>
      </c>
    </row>
    <row r="13" spans="1:36" ht="15" customHeight="1" thickBot="1">
      <c r="A13" s="5" t="s">
        <v>36</v>
      </c>
      <c r="B13" s="6" t="s">
        <v>13</v>
      </c>
      <c r="C13" s="10">
        <f>(C11*(1+C11)^C2)/((1+C11)^C2-1)</f>
        <v>6.6722392704719621E-2</v>
      </c>
      <c r="D13" s="10">
        <f>(D11*(1+D11)^D2)/((1+D11)^D2-1)</f>
        <v>5.5447425967387991E-2</v>
      </c>
      <c r="E13" s="10">
        <f>(E11*(1+E11)^E2)/((1+E11)^E2-1)</f>
        <v>7.9011678558161103E-2</v>
      </c>
      <c r="F13" s="10">
        <f>(F11*(1+F11)^F2)/((1+F11)^F2-1)</f>
        <v>9.2452402692376937E-2</v>
      </c>
      <c r="G13" s="10">
        <f>(G11*(1+G11)^G2)/((1+G11)^G2-1)</f>
        <v>5.6496839254015066E-2</v>
      </c>
      <c r="H13" s="48"/>
      <c r="I13" s="15" t="s">
        <v>22</v>
      </c>
      <c r="J13" s="112"/>
      <c r="K13" s="20" t="str">
        <f>IF(L87=I6,K6,IF(L77=I10,K10,IF(L77=I11,K11,IF(L77=I12,K12,"error"))))</f>
        <v>error</v>
      </c>
      <c r="L13" s="112"/>
      <c r="M13" s="112"/>
      <c r="N13" s="112"/>
      <c r="O13" s="112"/>
      <c r="P13" s="112"/>
      <c r="Q13" s="112"/>
      <c r="R13" s="112"/>
      <c r="S13" s="112"/>
      <c r="T13" s="112"/>
      <c r="U13" s="112"/>
      <c r="V13" s="112"/>
      <c r="W13" s="112"/>
      <c r="X13" s="112"/>
      <c r="Y13" s="112"/>
      <c r="Z13" s="112"/>
      <c r="AA13" s="112"/>
      <c r="AB13" s="112"/>
      <c r="AC13" s="112"/>
      <c r="AD13" s="112"/>
      <c r="AE13" s="112"/>
      <c r="AF13" s="21"/>
    </row>
    <row r="14" spans="1:36" ht="17.100000000000001" customHeight="1" thickBot="1">
      <c r="A14" s="5" t="s">
        <v>37</v>
      </c>
      <c r="B14" s="6" t="s">
        <v>13</v>
      </c>
      <c r="C14" s="28">
        <v>1</v>
      </c>
      <c r="D14" s="28">
        <v>1</v>
      </c>
      <c r="E14" s="28">
        <v>1</v>
      </c>
      <c r="F14" s="28">
        <v>1</v>
      </c>
      <c r="G14" s="28">
        <v>1</v>
      </c>
      <c r="H14" s="51"/>
      <c r="I14" s="114" t="s">
        <v>23</v>
      </c>
      <c r="J14" s="115"/>
      <c r="K14" s="115"/>
      <c r="L14" s="116">
        <f>L70</f>
        <v>0</v>
      </c>
      <c r="M14" s="116">
        <f t="shared" ref="M14:AE14" si="0">L14*(1+$AO$82)</f>
        <v>0</v>
      </c>
      <c r="N14" s="116">
        <f t="shared" si="0"/>
        <v>0</v>
      </c>
      <c r="O14" s="116">
        <f t="shared" si="0"/>
        <v>0</v>
      </c>
      <c r="P14" s="116">
        <f t="shared" si="0"/>
        <v>0</v>
      </c>
      <c r="Q14" s="116">
        <f t="shared" si="0"/>
        <v>0</v>
      </c>
      <c r="R14" s="116">
        <f t="shared" si="0"/>
        <v>0</v>
      </c>
      <c r="S14" s="116">
        <f t="shared" si="0"/>
        <v>0</v>
      </c>
      <c r="T14" s="116">
        <f t="shared" si="0"/>
        <v>0</v>
      </c>
      <c r="U14" s="116">
        <f t="shared" si="0"/>
        <v>0</v>
      </c>
      <c r="V14" s="116">
        <f t="shared" si="0"/>
        <v>0</v>
      </c>
      <c r="W14" s="116">
        <f t="shared" si="0"/>
        <v>0</v>
      </c>
      <c r="X14" s="116">
        <f t="shared" si="0"/>
        <v>0</v>
      </c>
      <c r="Y14" s="116">
        <f t="shared" si="0"/>
        <v>0</v>
      </c>
      <c r="Z14" s="116">
        <f t="shared" si="0"/>
        <v>0</v>
      </c>
      <c r="AA14" s="116">
        <f t="shared" si="0"/>
        <v>0</v>
      </c>
      <c r="AB14" s="116">
        <f t="shared" si="0"/>
        <v>0</v>
      </c>
      <c r="AC14" s="116">
        <f t="shared" si="0"/>
        <v>0</v>
      </c>
      <c r="AD14" s="116">
        <f t="shared" si="0"/>
        <v>0</v>
      </c>
      <c r="AE14" s="116">
        <f t="shared" si="0"/>
        <v>0</v>
      </c>
      <c r="AF14" s="117"/>
    </row>
    <row r="15" spans="1:36" ht="15.75" thickBot="1">
      <c r="A15" s="5" t="s">
        <v>38</v>
      </c>
      <c r="B15" s="6"/>
      <c r="C15" s="29" t="s">
        <v>18</v>
      </c>
      <c r="D15" s="29" t="s">
        <v>18</v>
      </c>
      <c r="E15" s="29" t="s">
        <v>18</v>
      </c>
      <c r="F15" s="29" t="s">
        <v>18</v>
      </c>
      <c r="G15" s="29" t="s">
        <v>18</v>
      </c>
      <c r="H15" s="49"/>
      <c r="I15" s="49"/>
      <c r="J15" s="49"/>
      <c r="K15" s="49"/>
      <c r="L15" s="49"/>
      <c r="M15" s="49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52"/>
      <c r="AH15" s="50"/>
      <c r="AI15" s="53"/>
      <c r="AJ15" s="44"/>
    </row>
    <row r="16" spans="1:36" ht="15.75" thickBot="1">
      <c r="A16" s="5" t="s">
        <v>39</v>
      </c>
      <c r="B16" s="6" t="s">
        <v>13</v>
      </c>
      <c r="C16" s="118">
        <f>NPV(C$10,$L6:$Q6)</f>
        <v>0.83141613294476524</v>
      </c>
      <c r="D16" s="118">
        <f>NPV(D$10,$L6:$Q6)</f>
        <v>0.8689134468410169</v>
      </c>
      <c r="E16" s="118">
        <f>NPV(E$10,$L6:$Q6)</f>
        <v>0.79653735067362075</v>
      </c>
      <c r="F16" s="118">
        <f>NPV(F$10,$L6:$Q6)</f>
        <v>0.83141613294476524</v>
      </c>
      <c r="G16" s="118">
        <f>NPV(G$10,$L6:$Q6)</f>
        <v>0.83141613294476524</v>
      </c>
      <c r="H16" s="53"/>
      <c r="I16" s="53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44"/>
      <c r="AE16" s="44"/>
      <c r="AF16" s="44"/>
      <c r="AG16" s="45"/>
      <c r="AI16" s="44"/>
      <c r="AJ16" s="44"/>
    </row>
    <row r="17" spans="1:36" ht="17.100000000000001" customHeight="1" thickBot="1">
      <c r="A17" s="5" t="s">
        <v>40</v>
      </c>
      <c r="B17" s="31" t="s">
        <v>13</v>
      </c>
      <c r="C17" s="30">
        <f>(1-C3*C16)/(1-C3)</f>
        <v>1.0583123200985132</v>
      </c>
      <c r="D17" s="30">
        <f>(1-D3*D16)/(1-D3)</f>
        <v>1.0453421859513576</v>
      </c>
      <c r="E17" s="30">
        <f>(1-E3*E16)/(1-E3)</f>
        <v>1.0703767171963385</v>
      </c>
      <c r="F17" s="30">
        <f>(1-F3*F16)/(1-F3)</f>
        <v>1.0583123200985132</v>
      </c>
      <c r="G17" s="30">
        <f>(1-G3*G16)/(1-G3)</f>
        <v>1.0583123200985132</v>
      </c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/>
      <c r="AI17" s="44"/>
      <c r="AJ17" s="44"/>
    </row>
    <row r="18" spans="1:36" ht="17.100000000000001" customHeight="1" thickBot="1">
      <c r="A18" s="7" t="s">
        <v>41</v>
      </c>
      <c r="B18" s="6" t="s">
        <v>13</v>
      </c>
      <c r="C18" s="32">
        <f>C12*C17</f>
        <v>9.0866732727079083E-2</v>
      </c>
      <c r="D18" s="32">
        <f>D12*D17</f>
        <v>7.6075006483519531E-2</v>
      </c>
      <c r="E18" s="32">
        <f>E12*E17</f>
        <v>0.10684182087899564</v>
      </c>
      <c r="F18" s="32">
        <f>F12*F17</f>
        <v>0.11624401557079506</v>
      </c>
      <c r="G18" s="32">
        <f>G12*G17</f>
        <v>8.179475007549597E-2</v>
      </c>
      <c r="H18" s="53"/>
      <c r="I18" s="53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44"/>
      <c r="AE18" s="44"/>
      <c r="AF18" s="44"/>
      <c r="AG18" s="45"/>
      <c r="AI18" s="44"/>
      <c r="AJ18" s="44"/>
    </row>
    <row r="19" spans="1:36" ht="17.100000000000001" customHeight="1" thickBot="1">
      <c r="A19" s="7" t="s">
        <v>42</v>
      </c>
      <c r="B19" s="6" t="s">
        <v>13</v>
      </c>
      <c r="C19" s="32">
        <f>C13*C17</f>
        <v>7.0613130225855927E-2</v>
      </c>
      <c r="D19" s="32">
        <f>D13*D17</f>
        <v>5.7961533466125433E-2</v>
      </c>
      <c r="E19" s="32">
        <f>E13*E17</f>
        <v>8.4572261115256814E-2</v>
      </c>
      <c r="F19" s="32">
        <f>F13*F17</f>
        <v>9.7843516792051458E-2</v>
      </c>
      <c r="G19" s="32">
        <f>G13*G17</f>
        <v>5.9791301029149438E-2</v>
      </c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5"/>
      <c r="AI19" s="44"/>
      <c r="AJ19" s="44"/>
    </row>
    <row r="20" spans="1:36" ht="17.100000000000001" customHeight="1"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5"/>
      <c r="AI20" s="44"/>
      <c r="AJ20" s="44"/>
    </row>
    <row r="21" spans="1:36"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5"/>
      <c r="AI21" s="44"/>
      <c r="AJ21" s="44"/>
    </row>
    <row r="22" spans="1:36"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5"/>
      <c r="AI22" s="44"/>
      <c r="AJ22" s="44"/>
    </row>
    <row r="23" spans="1:36"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5"/>
      <c r="AI23" s="44"/>
      <c r="AJ23" s="44"/>
    </row>
    <row r="24" spans="1:36"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5"/>
      <c r="AI24" s="44"/>
      <c r="AJ24" s="44"/>
    </row>
    <row r="25" spans="1:36">
      <c r="B25" s="107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5"/>
      <c r="AI25" s="44"/>
      <c r="AJ25" s="44"/>
    </row>
    <row r="26" spans="1:36">
      <c r="B26" s="107"/>
      <c r="C26" s="4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  <c r="AC26" s="54"/>
      <c r="AD26" s="54"/>
      <c r="AE26" s="54"/>
      <c r="AF26" s="54"/>
      <c r="AG26" s="45"/>
      <c r="AI26" s="44"/>
      <c r="AJ26" s="44"/>
    </row>
    <row r="27" spans="1:36">
      <c r="B27" s="107"/>
      <c r="C27" s="4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  <c r="AA27" s="54"/>
      <c r="AB27" s="54"/>
      <c r="AC27" s="54"/>
      <c r="AD27" s="54"/>
      <c r="AE27" s="54"/>
      <c r="AF27" s="54"/>
      <c r="AG27" s="45"/>
      <c r="AI27" s="44"/>
      <c r="AJ27" s="44"/>
    </row>
    <row r="28" spans="1:36">
      <c r="B28" s="107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5"/>
      <c r="AI28" s="44"/>
      <c r="AJ28" s="44"/>
    </row>
    <row r="29" spans="1:36">
      <c r="B29" s="107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45"/>
      <c r="AI29" s="44"/>
      <c r="AJ29" s="44"/>
    </row>
    <row r="30" spans="1:36">
      <c r="A30" s="8"/>
      <c r="B30" s="45"/>
      <c r="C30" s="44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2"/>
      <c r="AI30" s="44"/>
      <c r="AJ30" s="44"/>
    </row>
    <row r="31" spans="1:36">
      <c r="A31" s="9"/>
      <c r="B31" s="45"/>
      <c r="C31" s="44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2"/>
      <c r="AI31" s="44"/>
      <c r="AJ31" s="44"/>
    </row>
    <row r="32" spans="1:36">
      <c r="A32" s="9"/>
      <c r="B32" s="45"/>
      <c r="C32" s="44"/>
      <c r="D32" s="56"/>
      <c r="E32" s="56"/>
      <c r="F32" s="56"/>
      <c r="G32" s="56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6"/>
      <c r="U32" s="56"/>
      <c r="V32" s="56"/>
      <c r="W32" s="56"/>
      <c r="X32" s="55"/>
      <c r="Y32" s="55"/>
      <c r="Z32" s="56"/>
      <c r="AA32" s="56"/>
      <c r="AB32" s="56"/>
      <c r="AC32" s="56"/>
      <c r="AD32" s="55"/>
      <c r="AE32" s="55"/>
      <c r="AF32" s="55"/>
      <c r="AG32" s="52"/>
      <c r="AI32" s="44"/>
      <c r="AJ32" s="44"/>
    </row>
    <row r="33" spans="1:36">
      <c r="A33" s="9"/>
      <c r="B33" s="45"/>
      <c r="C33" s="44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2"/>
      <c r="AI33" s="44"/>
      <c r="AJ33" s="44"/>
    </row>
    <row r="34" spans="1:36" ht="15" customHeight="1">
      <c r="B34" s="45"/>
      <c r="C34" s="44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  <c r="AA34" s="58"/>
      <c r="AB34" s="58"/>
      <c r="AC34" s="58"/>
      <c r="AD34" s="58"/>
      <c r="AE34" s="58"/>
      <c r="AF34" s="58"/>
      <c r="AG34" s="52"/>
      <c r="AI34" s="59"/>
    </row>
    <row r="35" spans="1:36" ht="15" customHeight="1">
      <c r="A35" s="9"/>
      <c r="B35" s="45"/>
      <c r="C35" s="44"/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45"/>
      <c r="AI35" s="59"/>
    </row>
    <row r="36" spans="1:36" ht="17.100000000000001" customHeight="1">
      <c r="A36" s="9"/>
      <c r="B36" s="45"/>
      <c r="C36" s="44"/>
      <c r="D36" s="61"/>
      <c r="E36" s="61"/>
      <c r="F36" s="61"/>
      <c r="G36" s="61"/>
      <c r="H36" s="61"/>
      <c r="I36" s="60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2"/>
      <c r="Y36" s="62"/>
      <c r="Z36" s="61"/>
      <c r="AA36" s="61"/>
      <c r="AB36" s="61"/>
      <c r="AC36" s="61"/>
      <c r="AD36" s="61"/>
      <c r="AE36" s="61"/>
      <c r="AF36" s="61"/>
      <c r="AG36" s="45"/>
      <c r="AH36" s="44"/>
      <c r="AI36" s="44"/>
      <c r="AJ36" s="44"/>
    </row>
    <row r="37" spans="1:36"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  <c r="AE37" s="43"/>
      <c r="AF37" s="43"/>
      <c r="AG37" s="43"/>
      <c r="AH37" s="44"/>
    </row>
    <row r="38" spans="1:36">
      <c r="A38" s="9"/>
      <c r="B38" s="108"/>
      <c r="C38" s="44"/>
      <c r="D38" s="44"/>
      <c r="E38" s="44"/>
      <c r="F38" s="44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3"/>
      <c r="AC38" s="63"/>
      <c r="AD38" s="63"/>
      <c r="AE38" s="63"/>
      <c r="AF38" s="63"/>
      <c r="AG38" s="45"/>
      <c r="AH38" s="44"/>
      <c r="AI38" s="63"/>
      <c r="AJ38" s="44"/>
    </row>
    <row r="39" spans="1:36" ht="17.100000000000001" customHeight="1">
      <c r="A39" s="11"/>
      <c r="B39" s="108"/>
      <c r="C39" s="44"/>
      <c r="D39" s="58"/>
      <c r="E39" s="58"/>
      <c r="F39" s="58"/>
      <c r="G39" s="58"/>
      <c r="H39" s="58"/>
      <c r="I39" s="58"/>
      <c r="J39" s="58"/>
      <c r="K39" s="64"/>
      <c r="L39" s="64"/>
      <c r="M39" s="64"/>
      <c r="N39" s="58"/>
      <c r="O39" s="58"/>
      <c r="P39" s="58"/>
      <c r="Q39" s="58"/>
      <c r="R39" s="64"/>
      <c r="S39" s="64"/>
      <c r="T39" s="58"/>
      <c r="U39" s="58"/>
      <c r="V39" s="58"/>
      <c r="W39" s="58"/>
      <c r="X39" s="58"/>
      <c r="Y39" s="58"/>
      <c r="Z39" s="58"/>
      <c r="AA39" s="58"/>
      <c r="AB39" s="64"/>
      <c r="AC39" s="64"/>
      <c r="AD39" s="58"/>
      <c r="AE39" s="58"/>
      <c r="AF39" s="58"/>
      <c r="AG39" s="45"/>
      <c r="AH39" s="44"/>
      <c r="AI39" s="63"/>
      <c r="AJ39" s="44"/>
    </row>
    <row r="40" spans="1:36" ht="17.100000000000001" customHeight="1">
      <c r="B40" s="45"/>
      <c r="C40" s="44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45"/>
      <c r="AH40" s="44"/>
      <c r="AI40" s="63"/>
      <c r="AJ40" s="44"/>
    </row>
    <row r="41" spans="1:36" ht="15" customHeight="1">
      <c r="B41" s="45"/>
      <c r="C41" s="109"/>
      <c r="D41" s="66"/>
      <c r="E41" s="65"/>
      <c r="F41" s="66"/>
      <c r="G41" s="66"/>
      <c r="H41" s="66"/>
      <c r="I41" s="66"/>
      <c r="J41" s="66"/>
      <c r="K41" s="67"/>
      <c r="L41" s="67"/>
      <c r="M41" s="67"/>
      <c r="N41" s="66"/>
      <c r="O41" s="66"/>
      <c r="P41" s="66"/>
      <c r="Q41" s="67"/>
      <c r="R41" s="67"/>
      <c r="S41" s="67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45"/>
      <c r="AH41" s="45"/>
    </row>
    <row r="42" spans="1:36" ht="15" customHeight="1">
      <c r="A42" s="9"/>
      <c r="B42" s="45"/>
      <c r="C42" s="44"/>
      <c r="D42" s="66"/>
      <c r="E42" s="66"/>
      <c r="F42" s="66"/>
      <c r="G42" s="66"/>
      <c r="H42" s="66"/>
      <c r="I42" s="66"/>
      <c r="J42" s="66"/>
      <c r="K42" s="67"/>
      <c r="L42" s="67"/>
      <c r="M42" s="67"/>
      <c r="N42" s="66"/>
      <c r="O42" s="66"/>
      <c r="P42" s="66"/>
      <c r="Q42" s="67"/>
      <c r="R42" s="67"/>
      <c r="S42" s="67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45"/>
      <c r="AH42" s="44"/>
      <c r="AI42" s="63"/>
      <c r="AJ42" s="45"/>
    </row>
    <row r="43" spans="1:36" ht="15" customHeight="1">
      <c r="B43" s="45"/>
      <c r="C43" s="44"/>
      <c r="D43" s="53"/>
      <c r="E43" s="44"/>
      <c r="F43" s="67"/>
      <c r="G43" s="67"/>
      <c r="H43" s="67"/>
      <c r="I43" s="67"/>
      <c r="J43" s="67"/>
      <c r="K43" s="67"/>
      <c r="L43" s="67"/>
      <c r="M43" s="67"/>
      <c r="N43" s="67"/>
      <c r="O43" s="67"/>
      <c r="P43" s="67"/>
      <c r="Q43" s="67"/>
      <c r="R43" s="67"/>
      <c r="S43" s="67"/>
      <c r="T43" s="67"/>
      <c r="U43" s="67"/>
      <c r="V43" s="67"/>
      <c r="W43" s="67"/>
      <c r="X43" s="67"/>
      <c r="Y43" s="67"/>
      <c r="Z43" s="67"/>
      <c r="AA43" s="67"/>
      <c r="AB43" s="67"/>
      <c r="AC43" s="67"/>
      <c r="AD43" s="67"/>
      <c r="AE43" s="67"/>
      <c r="AF43" s="67"/>
      <c r="AG43" s="45"/>
      <c r="AH43" s="44"/>
      <c r="AI43" s="63"/>
      <c r="AJ43" s="45"/>
    </row>
    <row r="44" spans="1:36" ht="15" customHeight="1">
      <c r="B44" s="45"/>
      <c r="C44" s="44"/>
      <c r="D44" s="53"/>
      <c r="E44" s="44"/>
      <c r="F44" s="67"/>
      <c r="G44" s="67"/>
      <c r="H44" s="67"/>
      <c r="I44" s="67"/>
      <c r="J44" s="67"/>
      <c r="K44" s="67"/>
      <c r="L44" s="67"/>
      <c r="M44" s="67"/>
      <c r="N44" s="67"/>
      <c r="O44" s="67"/>
      <c r="P44" s="67"/>
      <c r="Q44" s="67"/>
      <c r="R44" s="67"/>
      <c r="S44" s="67"/>
      <c r="T44" s="67"/>
      <c r="U44" s="67"/>
      <c r="V44" s="67"/>
      <c r="W44" s="67"/>
      <c r="X44" s="67"/>
      <c r="Y44" s="67"/>
      <c r="Z44" s="67"/>
      <c r="AA44" s="67"/>
      <c r="AB44" s="67"/>
      <c r="AC44" s="67"/>
      <c r="AD44" s="67"/>
      <c r="AE44" s="67"/>
      <c r="AF44" s="67"/>
      <c r="AG44" s="45"/>
      <c r="AH44" s="44"/>
      <c r="AI44" s="63"/>
      <c r="AJ44" s="45"/>
    </row>
    <row r="45" spans="1:36" ht="15" customHeight="1">
      <c r="A45" s="11"/>
      <c r="B45" s="45"/>
      <c r="C45" s="44"/>
      <c r="D45" s="67"/>
      <c r="E45" s="68"/>
      <c r="F45" s="67"/>
      <c r="G45" s="67"/>
      <c r="H45" s="67"/>
      <c r="I45" s="67"/>
      <c r="J45" s="67"/>
      <c r="K45" s="67"/>
      <c r="L45" s="67"/>
      <c r="M45" s="67"/>
      <c r="N45" s="67"/>
      <c r="O45" s="67"/>
      <c r="P45" s="67"/>
      <c r="Q45" s="67"/>
      <c r="R45" s="67"/>
      <c r="S45" s="67"/>
      <c r="T45" s="67"/>
      <c r="U45" s="67"/>
      <c r="V45" s="67"/>
      <c r="W45" s="67"/>
      <c r="X45" s="67"/>
      <c r="Y45" s="67"/>
      <c r="Z45" s="67"/>
      <c r="AA45" s="67"/>
      <c r="AB45" s="67"/>
      <c r="AC45" s="67"/>
      <c r="AD45" s="67"/>
      <c r="AE45" s="67"/>
      <c r="AF45" s="67"/>
      <c r="AG45" s="45"/>
      <c r="AH45" s="44"/>
      <c r="AJ45" s="45"/>
    </row>
    <row r="46" spans="1:36" ht="17.100000000000001" customHeight="1">
      <c r="A46" s="9"/>
      <c r="B46" s="45"/>
      <c r="C46" s="44"/>
      <c r="D46" s="53"/>
      <c r="E46" s="44"/>
      <c r="F46" s="69"/>
      <c r="G46" s="69"/>
      <c r="H46" s="69"/>
      <c r="I46" s="69"/>
      <c r="J46" s="69"/>
      <c r="K46" s="69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45"/>
      <c r="AH46" s="9"/>
      <c r="AI46" s="44"/>
      <c r="AJ46" s="45"/>
    </row>
    <row r="47" spans="1:36" ht="15" customHeight="1">
      <c r="A47" s="9"/>
      <c r="B47" s="45"/>
      <c r="C47" s="44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45"/>
      <c r="AI47" s="44"/>
      <c r="AJ47" s="45"/>
    </row>
    <row r="48" spans="1:36" ht="15" customHeight="1">
      <c r="A48" s="9"/>
      <c r="B48" s="45"/>
      <c r="C48" s="44"/>
      <c r="D48" s="69"/>
      <c r="E48" s="69"/>
      <c r="F48" s="69"/>
      <c r="G48" s="69"/>
      <c r="H48" s="69"/>
      <c r="I48" s="69"/>
      <c r="J48" s="69"/>
      <c r="K48" s="69"/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45"/>
      <c r="AI48" s="44"/>
      <c r="AJ48" s="45"/>
    </row>
    <row r="49" spans="1:36" ht="15" customHeight="1">
      <c r="B49" s="45"/>
      <c r="C49" s="44"/>
      <c r="D49" s="69"/>
      <c r="E49" s="69"/>
      <c r="F49" s="69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45"/>
      <c r="AI49" s="44"/>
      <c r="AJ49" s="45"/>
    </row>
    <row r="50" spans="1:36" ht="15" customHeight="1">
      <c r="B50" s="45"/>
      <c r="C50" s="44"/>
      <c r="D50" s="69"/>
      <c r="E50" s="69"/>
      <c r="F50" s="69"/>
      <c r="G50" s="69"/>
      <c r="H50" s="69"/>
      <c r="I50" s="69"/>
      <c r="J50" s="69"/>
      <c r="K50" s="69"/>
      <c r="L50" s="69"/>
      <c r="M50" s="69"/>
      <c r="N50" s="69"/>
      <c r="O50" s="69"/>
      <c r="P50" s="69"/>
      <c r="Q50" s="69"/>
      <c r="R50" s="69"/>
      <c r="S50" s="69"/>
      <c r="T50" s="69"/>
      <c r="U50" s="69"/>
      <c r="V50" s="69"/>
      <c r="W50" s="69"/>
      <c r="X50" s="69"/>
      <c r="Y50" s="69"/>
      <c r="Z50" s="69"/>
      <c r="AA50" s="69"/>
      <c r="AB50" s="69"/>
      <c r="AC50" s="69"/>
      <c r="AD50" s="69"/>
      <c r="AE50" s="69"/>
      <c r="AF50" s="69"/>
      <c r="AG50" s="45"/>
      <c r="AI50" s="44"/>
      <c r="AJ50" s="45"/>
    </row>
    <row r="51" spans="1:36" ht="15" customHeight="1">
      <c r="B51" s="107"/>
      <c r="C51" s="44"/>
      <c r="D51" s="69"/>
      <c r="E51" s="69"/>
      <c r="F51" s="69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  <c r="AC51" s="69"/>
      <c r="AD51" s="69"/>
      <c r="AE51" s="69"/>
      <c r="AF51" s="69"/>
      <c r="AG51" s="45"/>
      <c r="AI51" s="44"/>
      <c r="AJ51" s="45"/>
    </row>
    <row r="52" spans="1:36" ht="17.100000000000001" customHeight="1">
      <c r="B52" s="45"/>
      <c r="C52" s="44"/>
      <c r="D52" s="69"/>
      <c r="E52" s="69"/>
      <c r="F52" s="69"/>
      <c r="G52" s="69"/>
      <c r="H52" s="69"/>
      <c r="I52" s="69"/>
      <c r="J52" s="69"/>
      <c r="K52" s="69"/>
      <c r="L52" s="69"/>
      <c r="M52" s="69"/>
      <c r="N52" s="69"/>
      <c r="O52" s="69"/>
      <c r="P52" s="69"/>
      <c r="Q52" s="69"/>
      <c r="R52" s="69"/>
      <c r="S52" s="69"/>
      <c r="T52" s="69"/>
      <c r="U52" s="69"/>
      <c r="V52" s="69"/>
      <c r="W52" s="69"/>
      <c r="X52" s="69"/>
      <c r="Y52" s="69"/>
      <c r="Z52" s="69"/>
      <c r="AA52" s="69"/>
      <c r="AB52" s="69"/>
      <c r="AC52" s="69"/>
      <c r="AD52" s="69"/>
      <c r="AE52" s="69"/>
      <c r="AF52" s="69"/>
      <c r="AG52" s="45"/>
      <c r="AI52" s="44"/>
      <c r="AJ52" s="45"/>
    </row>
    <row r="53" spans="1:36" ht="17.100000000000001" customHeight="1">
      <c r="B53" s="45"/>
      <c r="C53" s="44"/>
      <c r="D53" s="53"/>
      <c r="E53" s="44"/>
      <c r="F53" s="69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  <c r="AC53" s="69"/>
      <c r="AD53" s="69"/>
      <c r="AE53" s="69"/>
      <c r="AF53" s="69"/>
      <c r="AG53" s="45"/>
      <c r="AI53" s="44"/>
      <c r="AJ53" s="45"/>
    </row>
    <row r="54" spans="1:36" ht="17.100000000000001" customHeight="1">
      <c r="B54" s="45"/>
      <c r="C54" s="44"/>
      <c r="D54" s="53"/>
      <c r="E54" s="44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  <c r="AB54" s="69"/>
      <c r="AC54" s="69"/>
      <c r="AD54" s="69"/>
      <c r="AE54" s="69"/>
      <c r="AF54" s="69"/>
      <c r="AG54" s="45"/>
      <c r="AI54" s="44"/>
      <c r="AJ54" s="45"/>
    </row>
    <row r="55" spans="1:36" ht="17.100000000000001" customHeight="1">
      <c r="B55" s="45"/>
      <c r="C55" s="44"/>
      <c r="D55" s="53"/>
      <c r="E55" s="44"/>
      <c r="F55" s="69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  <c r="AC55" s="69"/>
      <c r="AD55" s="69"/>
      <c r="AE55" s="69"/>
      <c r="AF55" s="69"/>
      <c r="AG55" s="45"/>
      <c r="AI55" s="44"/>
      <c r="AJ55" s="45"/>
    </row>
    <row r="56" spans="1:36" ht="17.100000000000001" customHeight="1">
      <c r="B56" s="45"/>
      <c r="C56" s="44"/>
      <c r="D56" s="69"/>
      <c r="E56" s="69"/>
      <c r="F56" s="69"/>
      <c r="G56" s="69"/>
      <c r="H56" s="69"/>
      <c r="I56" s="69"/>
      <c r="J56" s="69"/>
      <c r="K56" s="69"/>
      <c r="L56" s="69"/>
      <c r="M56" s="69"/>
      <c r="N56" s="69"/>
      <c r="O56" s="69"/>
      <c r="P56" s="69"/>
      <c r="Q56" s="69"/>
      <c r="R56" s="69"/>
      <c r="S56" s="69"/>
      <c r="T56" s="69"/>
      <c r="U56" s="69"/>
      <c r="V56" s="69"/>
      <c r="W56" s="69"/>
      <c r="X56" s="69"/>
      <c r="Y56" s="69"/>
      <c r="Z56" s="69"/>
      <c r="AA56" s="69"/>
      <c r="AB56" s="69"/>
      <c r="AC56" s="69"/>
      <c r="AD56" s="69"/>
      <c r="AE56" s="69"/>
      <c r="AF56" s="69"/>
      <c r="AG56" s="45"/>
      <c r="AI56" s="44"/>
      <c r="AJ56" s="45"/>
    </row>
    <row r="57" spans="1:36" ht="17.100000000000001" customHeight="1">
      <c r="B57" s="45"/>
      <c r="C57" s="44"/>
      <c r="D57" s="53"/>
      <c r="E57" s="44"/>
      <c r="F57" s="69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  <c r="AC57" s="69"/>
      <c r="AD57" s="69"/>
      <c r="AE57" s="69"/>
      <c r="AF57" s="69"/>
      <c r="AG57" s="45"/>
      <c r="AI57" s="44"/>
      <c r="AJ57" s="45"/>
    </row>
    <row r="58" spans="1:36" ht="17.100000000000001" customHeight="1">
      <c r="B58" s="45"/>
      <c r="C58" s="44"/>
      <c r="D58" s="53"/>
      <c r="E58" s="44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Z58" s="69"/>
      <c r="AA58" s="69"/>
      <c r="AB58" s="69"/>
      <c r="AC58" s="69"/>
      <c r="AD58" s="69"/>
      <c r="AE58" s="69"/>
      <c r="AF58" s="69"/>
      <c r="AG58" s="45"/>
      <c r="AI58" s="44"/>
      <c r="AJ58" s="45"/>
    </row>
    <row r="59" spans="1:36" ht="17.100000000000001" customHeight="1">
      <c r="A59" s="9"/>
      <c r="B59" s="107"/>
      <c r="C59" s="44"/>
      <c r="D59" s="70"/>
      <c r="E59" s="70"/>
      <c r="F59" s="69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  <c r="Z59" s="69"/>
      <c r="AA59" s="69"/>
      <c r="AB59" s="69"/>
      <c r="AC59" s="69"/>
      <c r="AD59" s="69"/>
      <c r="AE59" s="69"/>
      <c r="AF59" s="69"/>
      <c r="AG59" s="45"/>
      <c r="AI59" s="44"/>
      <c r="AJ59" s="45"/>
    </row>
    <row r="60" spans="1:36" ht="17.100000000000001" customHeight="1">
      <c r="A60" s="4"/>
      <c r="B60" s="45"/>
      <c r="C60" s="109"/>
      <c r="D60" s="69"/>
      <c r="E60" s="71"/>
      <c r="F60" s="69"/>
      <c r="G60" s="69"/>
      <c r="H60" s="69"/>
      <c r="I60" s="69"/>
      <c r="J60" s="69"/>
      <c r="K60" s="69"/>
      <c r="L60" s="69"/>
      <c r="M60" s="69"/>
      <c r="N60" s="69"/>
      <c r="O60" s="69"/>
      <c r="P60" s="69"/>
      <c r="Q60" s="69"/>
      <c r="R60" s="69"/>
      <c r="S60" s="69"/>
      <c r="T60" s="69"/>
      <c r="U60" s="69"/>
      <c r="V60" s="69"/>
      <c r="W60" s="69"/>
      <c r="X60" s="69"/>
      <c r="Y60" s="69"/>
      <c r="Z60" s="69"/>
      <c r="AA60" s="69"/>
      <c r="AB60" s="69"/>
      <c r="AC60" s="69"/>
      <c r="AD60" s="69"/>
      <c r="AE60" s="69"/>
      <c r="AF60" s="69"/>
      <c r="AG60" s="45"/>
      <c r="AI60" s="72"/>
      <c r="AJ60" s="45"/>
    </row>
    <row r="61" spans="1:36" ht="17.100000000000001" customHeight="1">
      <c r="A61" s="9"/>
      <c r="B61" s="45"/>
      <c r="C61" s="44"/>
      <c r="D61" s="70"/>
      <c r="E61" s="70"/>
      <c r="F61" s="69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  <c r="Z61" s="69"/>
      <c r="AA61" s="69"/>
      <c r="AB61" s="69"/>
      <c r="AC61" s="69"/>
      <c r="AD61" s="69"/>
      <c r="AE61" s="69"/>
      <c r="AF61" s="69"/>
      <c r="AG61" s="45"/>
      <c r="AI61" s="44"/>
      <c r="AJ61" s="45"/>
    </row>
    <row r="62" spans="1:36">
      <c r="A62" s="9"/>
      <c r="B62" s="45"/>
      <c r="C62" s="44"/>
      <c r="D62" s="70"/>
      <c r="E62" s="70"/>
      <c r="F62" s="69"/>
      <c r="G62" s="69"/>
      <c r="H62" s="69"/>
      <c r="I62" s="69"/>
      <c r="J62" s="69"/>
      <c r="K62" s="69"/>
      <c r="L62" s="69"/>
      <c r="M62" s="69"/>
      <c r="N62" s="69"/>
      <c r="O62" s="69"/>
      <c r="P62" s="69"/>
      <c r="Q62" s="69"/>
      <c r="R62" s="69"/>
      <c r="S62" s="69"/>
      <c r="T62" s="69"/>
      <c r="U62" s="69"/>
      <c r="V62" s="69"/>
      <c r="W62" s="69"/>
      <c r="X62" s="69"/>
      <c r="Y62" s="69"/>
      <c r="Z62" s="69"/>
      <c r="AA62" s="69"/>
      <c r="AB62" s="69"/>
      <c r="AC62" s="69"/>
      <c r="AD62" s="69"/>
      <c r="AE62" s="69"/>
      <c r="AF62" s="69"/>
      <c r="AG62" s="45"/>
      <c r="AI62" s="44"/>
      <c r="AJ62" s="45"/>
    </row>
    <row r="63" spans="1:36" ht="17.100000000000001" customHeight="1">
      <c r="A63" s="9"/>
      <c r="B63" s="45"/>
      <c r="C63" s="44"/>
      <c r="D63" s="70"/>
      <c r="E63" s="70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Z63" s="69"/>
      <c r="AA63" s="69"/>
      <c r="AB63" s="69"/>
      <c r="AC63" s="69"/>
      <c r="AD63" s="69"/>
      <c r="AE63" s="69"/>
      <c r="AF63" s="69"/>
      <c r="AG63" s="45"/>
      <c r="AH63" s="9"/>
      <c r="AI63" s="44"/>
      <c r="AJ63" s="45"/>
    </row>
    <row r="64" spans="1:36">
      <c r="B64" s="45"/>
      <c r="C64" s="44"/>
      <c r="D64" s="73"/>
      <c r="E64" s="73"/>
      <c r="F64" s="74"/>
      <c r="G64" s="74"/>
      <c r="H64" s="74"/>
      <c r="I64" s="74"/>
      <c r="J64" s="74"/>
      <c r="K64" s="75"/>
      <c r="L64" s="75"/>
      <c r="M64" s="75"/>
      <c r="N64" s="74"/>
      <c r="O64" s="74"/>
      <c r="P64" s="74"/>
      <c r="Q64" s="74"/>
      <c r="R64" s="75"/>
      <c r="S64" s="75"/>
      <c r="T64" s="74"/>
      <c r="U64" s="74"/>
      <c r="V64" s="74"/>
      <c r="W64" s="74"/>
      <c r="X64" s="74"/>
      <c r="Y64" s="74"/>
      <c r="Z64" s="74"/>
      <c r="AA64" s="74"/>
      <c r="AB64" s="74"/>
      <c r="AC64" s="74"/>
      <c r="AD64" s="74"/>
      <c r="AE64" s="74"/>
      <c r="AF64" s="74"/>
      <c r="AG64" s="45"/>
      <c r="AI64" s="44"/>
      <c r="AJ64" s="45"/>
    </row>
    <row r="65" spans="1:37">
      <c r="A65" s="9"/>
      <c r="B65" s="45"/>
      <c r="C65" s="44"/>
      <c r="D65" s="73"/>
      <c r="E65" s="73"/>
      <c r="F65" s="74"/>
      <c r="G65" s="74"/>
      <c r="H65" s="74"/>
      <c r="I65" s="74"/>
      <c r="J65" s="74"/>
      <c r="K65" s="75"/>
      <c r="L65" s="75"/>
      <c r="M65" s="75"/>
      <c r="N65" s="74"/>
      <c r="O65" s="74"/>
      <c r="P65" s="74"/>
      <c r="Q65" s="74"/>
      <c r="R65" s="75"/>
      <c r="S65" s="75"/>
      <c r="T65" s="74"/>
      <c r="U65" s="74"/>
      <c r="V65" s="74"/>
      <c r="W65" s="74"/>
      <c r="X65" s="74"/>
      <c r="Y65" s="74"/>
      <c r="Z65" s="74"/>
      <c r="AA65" s="74"/>
      <c r="AB65" s="74"/>
      <c r="AC65" s="74"/>
      <c r="AD65" s="74"/>
      <c r="AE65" s="74"/>
      <c r="AF65" s="74"/>
      <c r="AG65" s="45"/>
      <c r="AI65" s="44"/>
      <c r="AJ65" s="44"/>
    </row>
    <row r="66" spans="1:37">
      <c r="A66" s="9"/>
      <c r="B66" s="45"/>
      <c r="C66" s="44"/>
      <c r="D66" s="73"/>
      <c r="E66" s="73"/>
      <c r="F66" s="74"/>
      <c r="G66" s="74"/>
      <c r="H66" s="74"/>
      <c r="I66" s="74"/>
      <c r="J66" s="74"/>
      <c r="K66" s="75"/>
      <c r="L66" s="75"/>
      <c r="M66" s="75"/>
      <c r="N66" s="74"/>
      <c r="O66" s="74"/>
      <c r="P66" s="74"/>
      <c r="Q66" s="74"/>
      <c r="R66" s="75"/>
      <c r="S66" s="75"/>
      <c r="T66" s="74"/>
      <c r="U66" s="74"/>
      <c r="V66" s="74"/>
      <c r="W66" s="74"/>
      <c r="X66" s="74"/>
      <c r="Y66" s="74"/>
      <c r="Z66" s="74"/>
      <c r="AA66" s="74"/>
      <c r="AB66" s="74"/>
      <c r="AC66" s="74"/>
      <c r="AD66" s="74"/>
      <c r="AE66" s="74"/>
      <c r="AF66" s="74"/>
      <c r="AG66" s="45"/>
      <c r="AI66" s="44"/>
      <c r="AJ66" s="44"/>
    </row>
    <row r="67" spans="1:37">
      <c r="A67" s="9"/>
      <c r="B67" s="45"/>
      <c r="C67" s="44"/>
      <c r="D67" s="70"/>
      <c r="E67" s="70"/>
      <c r="F67" s="69"/>
      <c r="G67" s="69"/>
      <c r="H67" s="69"/>
      <c r="I67" s="69"/>
      <c r="J67" s="69"/>
      <c r="K67" s="69"/>
      <c r="L67" s="69"/>
      <c r="M67" s="69"/>
      <c r="N67" s="69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  <c r="AA67" s="69"/>
      <c r="AB67" s="69"/>
      <c r="AC67" s="69"/>
      <c r="AD67" s="69"/>
      <c r="AE67" s="69"/>
      <c r="AF67" s="69"/>
      <c r="AG67" s="45"/>
      <c r="AI67" s="44"/>
      <c r="AJ67" s="44"/>
    </row>
    <row r="68" spans="1:37">
      <c r="B68" s="43"/>
      <c r="C68" s="43"/>
      <c r="D68" s="43"/>
      <c r="E68" s="43"/>
      <c r="F68" s="43"/>
      <c r="G68" s="43"/>
      <c r="H68" s="43"/>
      <c r="I68" s="43"/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43"/>
      <c r="AA68" s="43"/>
      <c r="AB68" s="43"/>
      <c r="AC68" s="43"/>
      <c r="AD68" s="43"/>
      <c r="AE68" s="43"/>
      <c r="AF68" s="43"/>
      <c r="AG68" s="43"/>
    </row>
    <row r="69" spans="1:37">
      <c r="B69" s="45"/>
      <c r="C69" s="44"/>
      <c r="D69" s="44"/>
      <c r="E69" s="44"/>
      <c r="F69" s="44"/>
      <c r="G69" s="44"/>
      <c r="H69" s="44"/>
      <c r="AI69" s="44"/>
      <c r="AJ69" s="45"/>
    </row>
    <row r="70" spans="1:37">
      <c r="A70" s="11"/>
      <c r="B70" s="108"/>
      <c r="C70" s="44"/>
      <c r="D70" s="49"/>
      <c r="E70" s="49"/>
      <c r="F70" s="49"/>
      <c r="G70" s="49"/>
      <c r="H70" s="49"/>
      <c r="I70" s="49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9"/>
      <c r="U70" s="49"/>
      <c r="V70" s="49"/>
      <c r="W70" s="49"/>
      <c r="X70" s="49"/>
      <c r="Y70" s="49"/>
      <c r="Z70" s="76"/>
      <c r="AA70" s="76"/>
      <c r="AB70" s="49"/>
      <c r="AC70" s="49"/>
      <c r="AD70" s="46"/>
      <c r="AE70" s="46"/>
      <c r="AF70" s="49"/>
      <c r="AG70" s="45"/>
      <c r="AI70" s="47"/>
      <c r="AJ70" s="45"/>
    </row>
    <row r="71" spans="1:37" ht="15" customHeight="1">
      <c r="A71" s="9"/>
      <c r="B71" s="110"/>
      <c r="C71" s="44"/>
      <c r="D71" s="48"/>
      <c r="E71" s="48"/>
      <c r="F71" s="48"/>
      <c r="G71" s="48"/>
      <c r="H71" s="49"/>
      <c r="I71" s="49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6"/>
      <c r="AE71" s="46"/>
      <c r="AF71" s="49"/>
      <c r="AG71" s="45"/>
      <c r="AI71" s="50"/>
      <c r="AJ71" s="45"/>
      <c r="AK71" s="9"/>
    </row>
    <row r="72" spans="1:37" ht="15" customHeight="1">
      <c r="A72" s="9"/>
      <c r="B72" s="110"/>
      <c r="C72" s="44"/>
      <c r="D72" s="48"/>
      <c r="E72" s="48"/>
      <c r="F72" s="48"/>
      <c r="G72" s="48"/>
      <c r="H72" s="49"/>
      <c r="I72" s="49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6"/>
      <c r="AE72" s="46"/>
      <c r="AF72" s="49"/>
      <c r="AG72" s="45"/>
      <c r="AH72" s="44"/>
      <c r="AI72" s="50"/>
      <c r="AJ72" s="45"/>
    </row>
    <row r="73" spans="1:37"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43"/>
    </row>
    <row r="74" spans="1:37"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77"/>
      <c r="P74" s="77"/>
      <c r="Q74" s="47"/>
      <c r="R74" s="47"/>
      <c r="S74" s="47"/>
      <c r="T74" s="50"/>
      <c r="U74" s="50"/>
      <c r="V74" s="47"/>
      <c r="W74" s="47"/>
      <c r="X74" s="47"/>
      <c r="Y74" s="47"/>
      <c r="Z74" s="47"/>
      <c r="AA74" s="47"/>
      <c r="AB74" s="47"/>
      <c r="AC74" s="47"/>
      <c r="AD74" s="47">
        <v>20</v>
      </c>
      <c r="AE74" s="77">
        <v>25</v>
      </c>
      <c r="AF74" s="50">
        <v>30</v>
      </c>
      <c r="AG74" s="78"/>
      <c r="AI74" s="44"/>
      <c r="AJ74" s="44"/>
    </row>
    <row r="75" spans="1:37">
      <c r="E75" s="79"/>
      <c r="F75" s="79"/>
      <c r="G75" s="79"/>
      <c r="H75" s="79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79"/>
      <c r="U75" s="79"/>
      <c r="V75" s="79"/>
      <c r="W75" s="79"/>
      <c r="X75" s="79"/>
      <c r="Y75" s="79"/>
      <c r="Z75" s="79"/>
      <c r="AA75" s="79"/>
      <c r="AB75" s="79"/>
      <c r="AC75" s="79"/>
      <c r="AD75" s="80">
        <v>0.4</v>
      </c>
      <c r="AE75" s="80">
        <v>0.4</v>
      </c>
      <c r="AF75" s="80">
        <v>0.25700000000000001</v>
      </c>
      <c r="AG75" s="81"/>
      <c r="AI75" s="44"/>
      <c r="AJ75" s="44"/>
    </row>
    <row r="76" spans="1:37">
      <c r="E76" s="79"/>
      <c r="F76" s="79"/>
      <c r="G76" s="79"/>
      <c r="H76" s="79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79"/>
      <c r="U76" s="79"/>
      <c r="V76" s="79"/>
      <c r="W76" s="79"/>
      <c r="X76" s="79"/>
      <c r="Y76" s="79"/>
      <c r="Z76" s="79"/>
      <c r="AA76" s="79"/>
      <c r="AB76" s="79"/>
      <c r="AC76" s="79"/>
      <c r="AD76" s="80">
        <v>0.35</v>
      </c>
      <c r="AE76" s="80">
        <v>0.35</v>
      </c>
      <c r="AF76" s="80">
        <v>0.21</v>
      </c>
      <c r="AG76" s="81"/>
      <c r="AI76" s="44"/>
      <c r="AJ76" s="44"/>
    </row>
    <row r="77" spans="1:37">
      <c r="E77" s="82"/>
      <c r="F77" s="82"/>
      <c r="G77" s="82"/>
      <c r="H77" s="82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82"/>
      <c r="U77" s="82"/>
      <c r="V77" s="82"/>
      <c r="W77" s="82"/>
      <c r="X77" s="82"/>
      <c r="Y77" s="82"/>
      <c r="Z77" s="82"/>
      <c r="AA77" s="82"/>
      <c r="AB77" s="82"/>
      <c r="AC77" s="82"/>
      <c r="AD77" s="55">
        <v>7.4999999999999997E-2</v>
      </c>
      <c r="AE77" s="55">
        <v>7.4999999999999997E-2</v>
      </c>
      <c r="AF77" s="55">
        <v>7.4999999999999997E-2</v>
      </c>
      <c r="AG77" s="81"/>
      <c r="AI77" s="44"/>
      <c r="AJ77" s="44"/>
    </row>
    <row r="78" spans="1:37">
      <c r="E78" s="82"/>
      <c r="F78" s="82"/>
      <c r="G78" s="82"/>
      <c r="H78" s="82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82"/>
      <c r="U78" s="82"/>
      <c r="V78" s="82"/>
      <c r="W78" s="82"/>
      <c r="X78" s="82"/>
      <c r="Y78" s="82"/>
      <c r="Z78" s="82"/>
      <c r="AA78" s="82"/>
      <c r="AB78" s="82"/>
      <c r="AC78" s="82"/>
      <c r="AD78" s="55">
        <v>2.5000000000000001E-2</v>
      </c>
      <c r="AE78" s="55">
        <v>2.5000000000000001E-2</v>
      </c>
      <c r="AF78" s="55">
        <v>2.5000000000000001E-2</v>
      </c>
      <c r="AG78" s="81"/>
      <c r="AI78" s="44"/>
      <c r="AJ78" s="44"/>
      <c r="AK78" s="72"/>
    </row>
    <row r="79" spans="1:37">
      <c r="E79" s="79"/>
      <c r="F79" s="79"/>
      <c r="G79" s="79"/>
      <c r="H79" s="79"/>
      <c r="I79" s="79"/>
      <c r="J79" s="83"/>
      <c r="K79" s="84"/>
      <c r="L79" s="83"/>
      <c r="M79" s="85"/>
      <c r="N79" s="83"/>
      <c r="O79" s="83"/>
      <c r="P79" s="83"/>
      <c r="Q79" s="85"/>
      <c r="R79" s="85"/>
      <c r="S79" s="85"/>
      <c r="T79" s="79"/>
      <c r="U79" s="79"/>
      <c r="V79" s="79"/>
      <c r="W79" s="79"/>
      <c r="X79" s="79"/>
      <c r="Y79" s="79"/>
      <c r="Z79" s="79"/>
      <c r="AA79" s="79"/>
      <c r="AB79" s="79"/>
      <c r="AC79" s="79"/>
      <c r="AD79" s="85">
        <v>0.3</v>
      </c>
      <c r="AE79" s="83">
        <v>0.7</v>
      </c>
      <c r="AF79" s="83">
        <v>0.75</v>
      </c>
      <c r="AG79" s="81"/>
      <c r="AI79" s="44"/>
      <c r="AJ79" s="44"/>
      <c r="AK79" s="72"/>
    </row>
    <row r="80" spans="1:37">
      <c r="E80" s="82"/>
      <c r="F80" s="82"/>
      <c r="G80" s="82"/>
      <c r="H80" s="82"/>
      <c r="I80" s="82"/>
      <c r="J80" s="60"/>
      <c r="K80" s="86"/>
      <c r="L80" s="60"/>
      <c r="M80" s="60"/>
      <c r="N80" s="60"/>
      <c r="O80" s="60"/>
      <c r="P80" s="60"/>
      <c r="Q80" s="60"/>
      <c r="R80" s="87"/>
      <c r="S80" s="60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60">
        <v>3.6999999999999998E-2</v>
      </c>
      <c r="AE80" s="60">
        <v>3.6999999999999998E-2</v>
      </c>
      <c r="AF80" s="60">
        <v>4.4999999999999998E-2</v>
      </c>
      <c r="AG80" s="81"/>
      <c r="AI80" s="44"/>
      <c r="AJ80" s="44"/>
      <c r="AK80" s="72"/>
    </row>
    <row r="81" spans="1:41">
      <c r="E81" s="82"/>
      <c r="F81" s="82"/>
      <c r="G81" s="82"/>
      <c r="H81" s="82"/>
      <c r="I81" s="82"/>
      <c r="J81" s="55"/>
      <c r="K81" s="55"/>
      <c r="L81" s="55"/>
      <c r="M81" s="87"/>
      <c r="N81" s="55"/>
      <c r="O81" s="55"/>
      <c r="P81" s="55"/>
      <c r="Q81" s="87"/>
      <c r="R81" s="87"/>
      <c r="S81" s="87"/>
      <c r="T81" s="82"/>
      <c r="U81" s="82"/>
      <c r="V81" s="82"/>
      <c r="W81" s="82"/>
      <c r="X81" s="82"/>
      <c r="Y81" s="82"/>
      <c r="Z81" s="82"/>
      <c r="AA81" s="82"/>
      <c r="AB81" s="82"/>
      <c r="AC81" s="82"/>
      <c r="AD81" s="55">
        <v>0.12</v>
      </c>
      <c r="AE81" s="55">
        <v>0.12</v>
      </c>
      <c r="AF81" s="55">
        <v>0.1</v>
      </c>
      <c r="AG81" s="81"/>
      <c r="AI81" s="44"/>
      <c r="AJ81" s="44"/>
      <c r="AK81" s="72"/>
    </row>
    <row r="82" spans="1:41" ht="15" customHeight="1">
      <c r="A82" s="24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9"/>
      <c r="W82" s="89"/>
      <c r="X82" s="88"/>
      <c r="Y82" s="88"/>
      <c r="Z82" s="88"/>
      <c r="AA82" s="88"/>
      <c r="AB82" s="88"/>
      <c r="AC82" s="88"/>
      <c r="AD82" s="88">
        <f t="shared" ref="AD82:AF82" si="1">AD79*(AD80*(1-AD75))+(1-AD79)*AD81</f>
        <v>9.0659999999999991E-2</v>
      </c>
      <c r="AE82" s="88">
        <f t="shared" si="1"/>
        <v>5.1540000000000002E-2</v>
      </c>
      <c r="AF82" s="88">
        <f t="shared" si="1"/>
        <v>5.0076250000000003E-2</v>
      </c>
      <c r="AG82" s="81"/>
      <c r="AH82" s="9"/>
      <c r="AI82" s="44"/>
      <c r="AJ82" s="45"/>
      <c r="AK82" s="72"/>
      <c r="AO82" s="106"/>
    </row>
    <row r="83" spans="1:41">
      <c r="A83" s="26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>
        <f t="shared" ref="AD83:AF83" si="2">(1+AD82)/(1+AD78)-1</f>
        <v>6.4058536585365866E-2</v>
      </c>
      <c r="AE83" s="88">
        <f t="shared" si="2"/>
        <v>2.5892682926829336E-2</v>
      </c>
      <c r="AF83" s="88">
        <f t="shared" si="2"/>
        <v>2.4464634146341702E-2</v>
      </c>
      <c r="AG83" s="81"/>
      <c r="AI83" s="44"/>
      <c r="AJ83" s="45"/>
      <c r="AK83" s="72"/>
    </row>
    <row r="84" spans="1:41"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  <c r="AA84" s="61"/>
      <c r="AB84" s="61"/>
      <c r="AC84" s="61"/>
      <c r="AD84" s="61">
        <f t="shared" ref="AD84:AF84" si="3">(AD82*(1+AD82)^AD74)/((1+AD82)^AD74-1)</f>
        <v>0.11006217284504749</v>
      </c>
      <c r="AE84" s="61">
        <f t="shared" si="3"/>
        <v>7.2051543825106854E-2</v>
      </c>
      <c r="AF84" s="61">
        <f t="shared" si="3"/>
        <v>6.5107987908771217E-2</v>
      </c>
      <c r="AG84" s="81"/>
      <c r="AI84" s="44"/>
      <c r="AJ84" s="44"/>
      <c r="AK84" s="72"/>
    </row>
    <row r="85" spans="1:41">
      <c r="E85" s="60"/>
      <c r="F85" s="60"/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  <c r="AA85" s="60"/>
      <c r="AB85" s="60"/>
      <c r="AC85" s="60"/>
      <c r="AD85" s="60">
        <f t="shared" ref="AD85:AF85" si="4">(AD83*(1+AD83)^AD74)/((1+AD83)^AD74-1)</f>
        <v>9.007884194466817E-2</v>
      </c>
      <c r="AE85" s="60">
        <f t="shared" si="4"/>
        <v>5.4831647542989602E-2</v>
      </c>
      <c r="AF85" s="60">
        <f t="shared" si="4"/>
        <v>4.7437243488653587E-2</v>
      </c>
      <c r="AG85" s="81"/>
      <c r="AI85" s="44"/>
      <c r="AJ85" s="44"/>
      <c r="AK85" s="72"/>
    </row>
    <row r="86" spans="1:41">
      <c r="E86" s="80"/>
      <c r="F86" s="80"/>
      <c r="G86" s="80"/>
      <c r="H86" s="80"/>
      <c r="I86" s="80"/>
      <c r="J86" s="80"/>
      <c r="K86" s="80"/>
      <c r="L86" s="80"/>
      <c r="M86" s="80"/>
      <c r="N86" s="80"/>
      <c r="O86" s="80"/>
      <c r="P86" s="80"/>
      <c r="Q86" s="80"/>
      <c r="R86" s="80"/>
      <c r="S86" s="80"/>
      <c r="T86" s="80"/>
      <c r="U86" s="80"/>
      <c r="V86" s="80"/>
      <c r="W86" s="80"/>
      <c r="X86" s="80"/>
      <c r="Y86" s="80"/>
      <c r="Z86" s="80"/>
      <c r="AA86" s="80"/>
      <c r="AB86" s="80"/>
      <c r="AC86" s="80"/>
      <c r="AD86" s="80">
        <v>1</v>
      </c>
      <c r="AE86" s="80">
        <v>1</v>
      </c>
      <c r="AF86" s="80">
        <v>1</v>
      </c>
      <c r="AG86" s="78"/>
      <c r="AI86" s="44"/>
      <c r="AJ86" s="44"/>
      <c r="AK86" s="72"/>
    </row>
    <row r="87" spans="1:41" ht="15" customHeight="1">
      <c r="E87" s="90"/>
      <c r="F87" s="90"/>
      <c r="G87" s="90"/>
      <c r="H87" s="90"/>
      <c r="I87" s="90"/>
      <c r="J87" s="90"/>
      <c r="K87" s="90"/>
      <c r="L87" s="90"/>
      <c r="M87" s="90"/>
      <c r="N87" s="90"/>
      <c r="O87" s="90"/>
      <c r="P87" s="90"/>
      <c r="Q87" s="90"/>
      <c r="R87" s="90"/>
      <c r="S87" s="90"/>
      <c r="T87" s="90"/>
      <c r="U87" s="90"/>
      <c r="V87" s="90"/>
      <c r="W87" s="90"/>
      <c r="X87" s="90"/>
      <c r="Y87" s="90"/>
      <c r="Z87" s="90"/>
      <c r="AA87" s="90"/>
      <c r="AB87" s="90"/>
      <c r="AC87" s="90"/>
      <c r="AD87" s="90" t="s">
        <v>18</v>
      </c>
      <c r="AE87" s="90" t="s">
        <v>18</v>
      </c>
      <c r="AF87" s="90" t="s">
        <v>18</v>
      </c>
      <c r="AG87" s="78"/>
      <c r="AI87" s="91"/>
      <c r="AJ87" s="44"/>
      <c r="AK87" s="72"/>
    </row>
    <row r="88" spans="1:41">
      <c r="E88" s="92"/>
      <c r="F88" s="92"/>
      <c r="G88" s="92"/>
      <c r="H88" s="92"/>
      <c r="I88" s="92"/>
      <c r="J88" s="92"/>
      <c r="K88" s="92"/>
      <c r="L88" s="92"/>
      <c r="M88" s="92"/>
      <c r="N88" s="92"/>
      <c r="O88" s="92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>
        <f>NPV(AD$82,$L6:$Q6)</f>
        <v>0.79065670305523883</v>
      </c>
      <c r="AE88" s="92">
        <f>NPV(AE$82,$L6:$Q6)</f>
        <v>0.87115655893928157</v>
      </c>
      <c r="AF88" s="92">
        <f>NPV(AF$82,$L6:$Q6)</f>
        <v>0.87443086436149808</v>
      </c>
      <c r="AG88" s="81"/>
      <c r="AI88" s="44"/>
      <c r="AJ88" s="44"/>
      <c r="AK88" s="72"/>
    </row>
    <row r="89" spans="1:41">
      <c r="E89" s="92"/>
      <c r="F89" s="92"/>
      <c r="G89" s="92"/>
      <c r="H89" s="92"/>
      <c r="I89" s="92"/>
      <c r="J89" s="92"/>
      <c r="K89" s="92"/>
      <c r="L89" s="92"/>
      <c r="M89" s="92"/>
      <c r="N89" s="92"/>
      <c r="O89" s="92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>
        <f t="shared" ref="AD89:AE89" si="5">(1-AD75*AD88)/(1-AD75)</f>
        <v>1.139562197963174</v>
      </c>
      <c r="AE89" s="92">
        <f t="shared" si="5"/>
        <v>1.0858956273738123</v>
      </c>
      <c r="AF89" s="92">
        <f>(1-AF75*AF88)/(1-AF75)</f>
        <v>1.0434337387067227</v>
      </c>
      <c r="AG89" s="81"/>
      <c r="AI89" s="44"/>
      <c r="AJ89" s="44"/>
      <c r="AK89" s="72"/>
    </row>
    <row r="90" spans="1:41"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  <c r="AD90" s="93">
        <f t="shared" ref="AD90:AF90" si="6">AD84*AD89</f>
        <v>0.12542269159990507</v>
      </c>
      <c r="AE90" s="93">
        <f t="shared" si="6"/>
        <v>7.8240456385216137E-2</v>
      </c>
      <c r="AF90" s="93">
        <f t="shared" si="6"/>
        <v>6.7935871243321247E-2</v>
      </c>
      <c r="AG90" s="81"/>
      <c r="AI90" s="44"/>
      <c r="AJ90" s="45"/>
      <c r="AK90" s="72"/>
    </row>
    <row r="91" spans="1:41"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  <c r="AD91" s="93">
        <f t="shared" ref="AD91:AF91" si="7">AD85*AD89</f>
        <v>0.10265044311644342</v>
      </c>
      <c r="AE91" s="93">
        <f t="shared" si="7"/>
        <v>5.9541446308634449E-2</v>
      </c>
      <c r="AF91" s="93">
        <f t="shared" si="7"/>
        <v>4.9497620327306951E-2</v>
      </c>
      <c r="AG91" s="81"/>
      <c r="AI91" s="44"/>
      <c r="AJ91" s="45"/>
      <c r="AK91" s="72"/>
    </row>
    <row r="92" spans="1:41" ht="15.75" thickBot="1">
      <c r="A92" s="11"/>
      <c r="B92" s="33"/>
      <c r="C92" s="34"/>
      <c r="D92" s="40"/>
      <c r="E92" s="94"/>
      <c r="F92" s="94"/>
      <c r="G92" s="94"/>
      <c r="H92" s="94"/>
      <c r="I92" s="94"/>
      <c r="J92" s="94"/>
      <c r="K92" s="94"/>
      <c r="L92" s="94"/>
      <c r="M92" s="94"/>
      <c r="N92" s="94"/>
      <c r="O92" s="94"/>
      <c r="P92" s="94"/>
      <c r="Q92" s="94"/>
      <c r="R92" s="94"/>
      <c r="S92" s="94"/>
      <c r="T92" s="94"/>
      <c r="U92" s="94"/>
      <c r="V92" s="94"/>
      <c r="W92" s="94"/>
      <c r="X92" s="94"/>
      <c r="Y92" s="94"/>
      <c r="Z92" s="94"/>
      <c r="AA92" s="94"/>
      <c r="AB92" s="94"/>
      <c r="AC92" s="94"/>
      <c r="AD92" s="94" t="e">
        <f t="shared" ref="AD92:AF92" si="8" xml:space="preserve"> (((AD39 * AD91) + AD70) / AD34 ) * 1000</f>
        <v>#DIV/0!</v>
      </c>
      <c r="AE92" s="94" t="e">
        <f t="shared" si="8"/>
        <v>#DIV/0!</v>
      </c>
      <c r="AF92" s="94" t="e">
        <f t="shared" si="8"/>
        <v>#DIV/0!</v>
      </c>
      <c r="AG92" s="95"/>
      <c r="AI92" s="96"/>
      <c r="AJ92" s="96"/>
    </row>
    <row r="94" spans="1:41">
      <c r="C94" s="35"/>
      <c r="D94" s="36"/>
      <c r="E94" s="97"/>
      <c r="F94" s="97"/>
      <c r="G94" s="97"/>
      <c r="H94" s="97"/>
      <c r="I94" s="97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8"/>
      <c r="AE94" s="100"/>
      <c r="AF94" s="99"/>
      <c r="AG94" s="44"/>
    </row>
    <row r="96" spans="1:41">
      <c r="D96" s="37"/>
      <c r="E96" s="37"/>
      <c r="F96" s="37"/>
      <c r="G96" s="101"/>
    </row>
    <row r="98" spans="2:32">
      <c r="B98" s="38"/>
      <c r="D98" s="35"/>
      <c r="E98" s="35"/>
      <c r="F98" s="35"/>
    </row>
    <row r="99" spans="2:32" ht="50.45" customHeight="1">
      <c r="B99" s="38"/>
      <c r="C99" s="38"/>
      <c r="D99" s="38"/>
      <c r="E99" s="38"/>
      <c r="F99" s="38"/>
      <c r="G99" s="38"/>
      <c r="H99" s="38"/>
      <c r="I99" s="102"/>
      <c r="J99" s="102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  <c r="AA99" s="102"/>
      <c r="AB99" s="102"/>
      <c r="AC99" s="102"/>
      <c r="AD99" s="102"/>
      <c r="AE99" s="102"/>
      <c r="AF99" s="102"/>
    </row>
    <row r="100" spans="2:32"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</row>
    <row r="101" spans="2:32"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  <c r="AB101" s="39"/>
      <c r="AC101" s="39"/>
      <c r="AD101" s="39"/>
      <c r="AE101" s="39"/>
      <c r="AF101" s="39"/>
    </row>
    <row r="102" spans="2:32"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  <c r="AB102" s="39"/>
      <c r="AC102" s="39"/>
      <c r="AD102" s="39"/>
      <c r="AE102" s="39"/>
      <c r="AF102" s="39"/>
    </row>
    <row r="103" spans="2:32"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  <c r="AB103" s="39"/>
      <c r="AC103" s="39"/>
      <c r="AD103" s="39"/>
      <c r="AE103" s="39"/>
      <c r="AF103" s="39"/>
    </row>
    <row r="104" spans="2:32"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  <c r="AB104" s="39"/>
      <c r="AC104" s="39"/>
      <c r="AD104" s="39"/>
      <c r="AE104" s="39"/>
      <c r="AF104" s="39"/>
    </row>
    <row r="105" spans="2:32"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  <c r="AB105" s="39"/>
      <c r="AC105" s="39"/>
      <c r="AD105" s="39"/>
      <c r="AE105" s="39"/>
      <c r="AF105" s="39"/>
    </row>
    <row r="106" spans="2:32"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  <c r="AB106" s="39"/>
      <c r="AC106" s="39"/>
      <c r="AD106" s="39"/>
      <c r="AE106" s="39"/>
      <c r="AF106" s="39"/>
    </row>
    <row r="107" spans="2:32"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  <c r="AB107" s="39"/>
      <c r="AC107" s="39"/>
      <c r="AD107" s="39"/>
      <c r="AE107" s="39"/>
      <c r="AF107" s="39"/>
    </row>
    <row r="108" spans="2:32"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  <c r="AB108" s="39"/>
      <c r="AC108" s="39"/>
      <c r="AD108" s="39"/>
      <c r="AE108" s="39"/>
      <c r="AF108" s="39"/>
    </row>
    <row r="110" spans="2:32">
      <c r="B110" s="38"/>
    </row>
    <row r="111" spans="2:32" ht="48.6" customHeight="1">
      <c r="B111" s="102"/>
      <c r="C111" s="102"/>
      <c r="D111" s="102"/>
      <c r="E111" s="102"/>
      <c r="F111" s="102"/>
      <c r="G111" s="102"/>
      <c r="H111" s="102"/>
      <c r="I111" s="102"/>
      <c r="J111" s="102"/>
      <c r="K111" s="102"/>
      <c r="L111" s="102"/>
      <c r="M111" s="102"/>
      <c r="N111" s="102"/>
      <c r="O111" s="102"/>
      <c r="P111" s="102"/>
      <c r="Q111" s="102"/>
      <c r="R111" s="102"/>
      <c r="S111" s="102"/>
      <c r="T111" s="102"/>
      <c r="U111" s="102"/>
      <c r="V111" s="102"/>
      <c r="W111" s="102"/>
      <c r="X111" s="102"/>
      <c r="Y111" s="102"/>
      <c r="Z111" s="102"/>
      <c r="AA111" s="102"/>
      <c r="AB111" s="102"/>
      <c r="AC111" s="102"/>
      <c r="AD111" s="102"/>
      <c r="AE111" s="102"/>
      <c r="AF111" s="102"/>
    </row>
    <row r="112" spans="2:32"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  <c r="AB112" s="39"/>
      <c r="AC112" s="39"/>
      <c r="AD112" s="39"/>
      <c r="AE112" s="39"/>
      <c r="AF112" s="39"/>
    </row>
    <row r="113" spans="2:32"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</row>
    <row r="114" spans="2:32"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  <c r="AB114" s="39"/>
      <c r="AC114" s="39"/>
      <c r="AD114" s="39"/>
      <c r="AE114" s="39"/>
      <c r="AF114" s="39"/>
    </row>
    <row r="115" spans="2:32"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  <c r="AB115" s="39"/>
      <c r="AC115" s="39"/>
      <c r="AD115" s="39"/>
      <c r="AE115" s="39"/>
      <c r="AF115" s="39"/>
    </row>
    <row r="116" spans="2:32"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  <c r="AB116" s="39"/>
      <c r="AC116" s="39"/>
      <c r="AD116" s="39"/>
      <c r="AE116" s="39"/>
      <c r="AF116" s="39"/>
    </row>
    <row r="117" spans="2:32"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  <c r="AB117" s="39"/>
      <c r="AC117" s="39"/>
      <c r="AD117" s="39"/>
      <c r="AE117" s="39"/>
      <c r="AF117" s="39"/>
    </row>
    <row r="118" spans="2:32"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  <c r="AB118" s="39"/>
      <c r="AC118" s="39"/>
      <c r="AD118" s="39"/>
      <c r="AE118" s="39"/>
      <c r="AF118" s="39"/>
    </row>
    <row r="119" spans="2:32"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  <c r="AB119" s="39"/>
      <c r="AC119" s="39"/>
      <c r="AD119" s="39"/>
      <c r="AE119" s="39"/>
      <c r="AF119" s="39"/>
    </row>
    <row r="120" spans="2:32"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  <c r="AB120" s="39"/>
      <c r="AC120" s="39"/>
      <c r="AD120" s="39"/>
      <c r="AE120" s="39"/>
      <c r="AF120" s="39"/>
    </row>
    <row r="121" spans="2:32"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  <c r="AB121" s="39"/>
      <c r="AC121" s="39"/>
      <c r="AD121" s="39"/>
      <c r="AE121" s="39"/>
      <c r="AF121" s="39"/>
    </row>
    <row r="122" spans="2:32"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  <c r="AB122" s="39"/>
      <c r="AC122" s="39"/>
      <c r="AD122" s="39"/>
      <c r="AE122" s="39"/>
      <c r="AF122" s="39"/>
    </row>
    <row r="123" spans="2:32"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  <c r="AB123" s="39"/>
      <c r="AC123" s="39"/>
      <c r="AD123" s="39"/>
      <c r="AE123" s="39"/>
      <c r="AF123" s="39"/>
    </row>
    <row r="124" spans="2:32"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  <c r="AB124" s="39"/>
      <c r="AC124" s="39"/>
      <c r="AD124" s="39"/>
      <c r="AE124" s="39"/>
      <c r="AF124" s="39"/>
    </row>
    <row r="125" spans="2:32"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  <c r="AB125" s="39"/>
      <c r="AC125" s="39"/>
      <c r="AD125" s="39"/>
      <c r="AE125" s="39"/>
      <c r="AF125" s="39"/>
    </row>
    <row r="127" spans="2:32">
      <c r="B127" s="38"/>
    </row>
    <row r="128" spans="2:32">
      <c r="C128" s="102"/>
      <c r="D128" s="102"/>
      <c r="E128" s="102"/>
      <c r="F128" s="102"/>
      <c r="G128" s="102"/>
      <c r="H128" s="102"/>
      <c r="I128" s="102"/>
      <c r="J128" s="102"/>
      <c r="K128" s="102"/>
      <c r="L128" s="102"/>
      <c r="M128" s="102"/>
      <c r="N128" s="102"/>
      <c r="O128" s="102"/>
      <c r="P128" s="102"/>
      <c r="Q128" s="102"/>
      <c r="R128" s="102"/>
      <c r="S128" s="102"/>
      <c r="T128" s="102"/>
      <c r="U128" s="102"/>
      <c r="V128" s="102"/>
      <c r="W128" s="102"/>
      <c r="X128" s="102"/>
      <c r="Y128" s="102"/>
      <c r="Z128" s="102"/>
      <c r="AA128" s="102"/>
      <c r="AB128" s="102"/>
      <c r="AC128" s="102"/>
      <c r="AD128" s="102"/>
      <c r="AE128" s="102"/>
      <c r="AF128" s="102"/>
    </row>
    <row r="129" spans="3:32">
      <c r="C129" s="103"/>
      <c r="D129" s="103"/>
      <c r="E129" s="103"/>
      <c r="F129" s="103"/>
      <c r="G129" s="103"/>
      <c r="H129" s="103"/>
      <c r="I129" s="104"/>
      <c r="J129" s="104"/>
      <c r="K129" s="104"/>
      <c r="L129" s="104"/>
      <c r="M129" s="104"/>
      <c r="N129" s="104"/>
      <c r="O129" s="104"/>
      <c r="P129" s="104"/>
      <c r="Q129" s="104"/>
      <c r="R129" s="104"/>
      <c r="S129" s="104"/>
      <c r="T129" s="104"/>
      <c r="U129" s="104"/>
      <c r="V129" s="104"/>
      <c r="W129" s="104"/>
      <c r="X129" s="104"/>
      <c r="Y129" s="104"/>
      <c r="Z129" s="104"/>
      <c r="AA129" s="104"/>
      <c r="AB129" s="104"/>
      <c r="AC129" s="104"/>
      <c r="AD129" s="104"/>
      <c r="AE129" s="104"/>
      <c r="AF129" s="104"/>
    </row>
    <row r="130" spans="3:32">
      <c r="C130" s="103"/>
      <c r="D130" s="103"/>
      <c r="E130" s="103"/>
      <c r="F130" s="103"/>
      <c r="G130" s="103"/>
      <c r="H130" s="103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  <c r="AD130" s="105"/>
      <c r="AE130" s="105"/>
      <c r="AF130" s="105"/>
    </row>
  </sheetData>
  <dataValidations count="1">
    <dataValidation type="list" allowBlank="1" showInputMessage="1" showErrorMessage="1" sqref="E87:AF87 C15:G15" xr:uid="{0679F541-4795-4E1E-A866-7690DC2151B8}">
      <formula1>$I$6:$I$12</formula1>
    </dataValidation>
  </dataValidation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FLOW_Sensitivity</vt:lpstr>
      <vt:lpstr>Fixed Charge Rates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Mulas Hernando, Daniel</cp:lastModifiedBy>
  <dcterms:created xsi:type="dcterms:W3CDTF">2024-09-17T21:14:11Z</dcterms:created>
  <dcterms:modified xsi:type="dcterms:W3CDTF">2025-11-19T22:41:38Z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965d95-ecc0-4720-b759-1f33c42ed7da_Enabled">
    <vt:lpwstr>true</vt:lpwstr>
  </property>
  <property fmtid="{D5CDD505-2E9C-101B-9397-08002B2CF9AE}" pid="3" name="MSIP_Label_95965d95-ecc0-4720-b759-1f33c42ed7da_SetDate">
    <vt:lpwstr>2024-09-17T22:37:41Z</vt:lpwstr>
  </property>
  <property fmtid="{D5CDD505-2E9C-101B-9397-08002B2CF9AE}" pid="4" name="MSIP_Label_95965d95-ecc0-4720-b759-1f33c42ed7da_Method">
    <vt:lpwstr>Standard</vt:lpwstr>
  </property>
  <property fmtid="{D5CDD505-2E9C-101B-9397-08002B2CF9AE}" pid="5" name="MSIP_Label_95965d95-ecc0-4720-b759-1f33c42ed7da_Name">
    <vt:lpwstr>General</vt:lpwstr>
  </property>
  <property fmtid="{D5CDD505-2E9C-101B-9397-08002B2CF9AE}" pid="6" name="MSIP_Label_95965d95-ecc0-4720-b759-1f33c42ed7da_SiteId">
    <vt:lpwstr>a0f29d7e-28cd-4f54-8442-7885aee7c080</vt:lpwstr>
  </property>
  <property fmtid="{D5CDD505-2E9C-101B-9397-08002B2CF9AE}" pid="7" name="MSIP_Label_95965d95-ecc0-4720-b759-1f33c42ed7da_ActionId">
    <vt:lpwstr>842b6042-cdaf-48fb-9d3d-740050c1a103</vt:lpwstr>
  </property>
  <property fmtid="{D5CDD505-2E9C-101B-9397-08002B2CF9AE}" pid="8" name="MSIP_Label_95965d95-ecc0-4720-b759-1f33c42ed7da_ContentBits">
    <vt:lpwstr>0</vt:lpwstr>
  </property>
</Properties>
</file>